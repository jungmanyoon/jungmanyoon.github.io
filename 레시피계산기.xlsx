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/>
  </bookViews>
  <sheets>
    <sheet name="제과" sheetId="8" r:id="rId1"/>
    <sheet name="소금빵" sheetId="1" r:id="rId2"/>
    <sheet name="Sheet1" sheetId="6" r:id="rId3"/>
    <sheet name="기준" sheetId="3" r:id="rId4"/>
    <sheet name="틀사이즈" sheetId="4" r:id="rId5"/>
    <sheet name="Sheet2" sheetId="7" r:id="rId6"/>
    <sheet name="계산" sheetId="5" r:id="rId7"/>
  </sheets>
  <definedNames>
    <definedName name="비용적">계산!$B$13:$C$31</definedName>
    <definedName name="사각팬">틀사이즈!$C$4:$C$23</definedName>
    <definedName name="쉬폰팬">틀사이즈!$C$50:$C$64</definedName>
    <definedName name="원형팬">틀사이즈!$C$28:$C$45</definedName>
    <definedName name="틀사이즈기준">틀사이즈!$C:$J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9" i="8"/>
  <c r="W30" i="8"/>
  <c r="W31" i="8"/>
  <c r="W32" i="8"/>
  <c r="W33" i="8"/>
  <c r="W34" i="8"/>
  <c r="W35" i="8"/>
  <c r="W36" i="8"/>
  <c r="W37" i="8"/>
  <c r="W38" i="8"/>
  <c r="G29" i="8"/>
  <c r="G39" i="8"/>
  <c r="U38" i="8"/>
  <c r="X38" i="8" s="1"/>
  <c r="H38" i="8"/>
  <c r="F38" i="8"/>
  <c r="U37" i="8"/>
  <c r="X37" i="8" s="1"/>
  <c r="H37" i="8"/>
  <c r="F37" i="8"/>
  <c r="U36" i="8"/>
  <c r="X36" i="8" s="1"/>
  <c r="H36" i="8"/>
  <c r="F36" i="8"/>
  <c r="U35" i="8"/>
  <c r="X35" i="8" s="1"/>
  <c r="H35" i="8"/>
  <c r="F35" i="8"/>
  <c r="U34" i="8"/>
  <c r="U33" i="8"/>
  <c r="U32" i="8"/>
  <c r="U31" i="8"/>
  <c r="U30" i="8"/>
  <c r="T30" i="8"/>
  <c r="F29" i="8"/>
  <c r="W28" i="8"/>
  <c r="U28" i="8"/>
  <c r="F28" i="8"/>
  <c r="W27" i="8"/>
  <c r="W29" i="8" s="1"/>
  <c r="U27" i="8"/>
  <c r="T27" i="8"/>
  <c r="O27" i="8"/>
  <c r="G26" i="8"/>
  <c r="W25" i="8"/>
  <c r="U25" i="8"/>
  <c r="X25" i="8" s="1"/>
  <c r="P25" i="8"/>
  <c r="N25" i="8"/>
  <c r="M25" i="8"/>
  <c r="O25" i="8" s="1"/>
  <c r="H25" i="8"/>
  <c r="F25" i="8"/>
  <c r="X24" i="8"/>
  <c r="V24" i="8"/>
  <c r="U24" i="8"/>
  <c r="W24" i="8" s="1"/>
  <c r="P24" i="8"/>
  <c r="M24" i="8"/>
  <c r="O24" i="8" s="1"/>
  <c r="H24" i="8"/>
  <c r="F24" i="8"/>
  <c r="X23" i="8"/>
  <c r="V23" i="8"/>
  <c r="U23" i="8"/>
  <c r="W23" i="8" s="1"/>
  <c r="P23" i="8"/>
  <c r="O23" i="8"/>
  <c r="N23" i="8"/>
  <c r="M23" i="8"/>
  <c r="H23" i="8"/>
  <c r="F23" i="8"/>
  <c r="X22" i="8"/>
  <c r="U22" i="8"/>
  <c r="W22" i="8" s="1"/>
  <c r="P22" i="8"/>
  <c r="O22" i="8"/>
  <c r="N22" i="8"/>
  <c r="M22" i="8"/>
  <c r="H22" i="8"/>
  <c r="F22" i="8"/>
  <c r="U21" i="8"/>
  <c r="T21" i="8"/>
  <c r="M21" i="8"/>
  <c r="L21" i="8"/>
  <c r="G20" i="8"/>
  <c r="X19" i="8"/>
  <c r="W19" i="8"/>
  <c r="U19" i="8"/>
  <c r="V19" i="8" s="1"/>
  <c r="M19" i="8"/>
  <c r="P19" i="8" s="1"/>
  <c r="H19" i="8"/>
  <c r="F19" i="8"/>
  <c r="U18" i="8"/>
  <c r="V18" i="8" s="1"/>
  <c r="M18" i="8"/>
  <c r="P18" i="8" s="1"/>
  <c r="H18" i="8"/>
  <c r="F18" i="8"/>
  <c r="U17" i="8"/>
  <c r="X17" i="8" s="1"/>
  <c r="M17" i="8"/>
  <c r="O17" i="8" s="1"/>
  <c r="H17" i="8"/>
  <c r="F17" i="8"/>
  <c r="U16" i="8"/>
  <c r="M16" i="8"/>
  <c r="F16" i="8"/>
  <c r="U15" i="8"/>
  <c r="T15" i="8"/>
  <c r="M15" i="8"/>
  <c r="O15" i="8" s="1"/>
  <c r="L15" i="8"/>
  <c r="Q11" i="8"/>
  <c r="P11" i="8"/>
  <c r="F9" i="8"/>
  <c r="E9" i="8"/>
  <c r="G8" i="8"/>
  <c r="H8" i="8" s="1"/>
  <c r="G7" i="8"/>
  <c r="G5" i="8"/>
  <c r="I8" i="8" l="1"/>
  <c r="G9" i="8"/>
  <c r="V28" i="8"/>
  <c r="V31" i="8"/>
  <c r="F32" i="8"/>
  <c r="F27" i="8"/>
  <c r="F21" i="8"/>
  <c r="F26" i="8" s="1"/>
  <c r="F31" i="8"/>
  <c r="N27" i="8"/>
  <c r="F15" i="8"/>
  <c r="F33" i="8"/>
  <c r="F34" i="8"/>
  <c r="F20" i="8"/>
  <c r="W15" i="8"/>
  <c r="V15" i="8" s="1"/>
  <c r="N15" i="8"/>
  <c r="H5" i="8"/>
  <c r="I5" i="8"/>
  <c r="I10" i="8" s="1"/>
  <c r="W18" i="8"/>
  <c r="P17" i="8"/>
  <c r="V34" i="8"/>
  <c r="V17" i="8"/>
  <c r="N19" i="8"/>
  <c r="V37" i="8"/>
  <c r="W17" i="8"/>
  <c r="O19" i="8"/>
  <c r="V25" i="8"/>
  <c r="F30" i="8"/>
  <c r="V32" i="8"/>
  <c r="O16" i="8"/>
  <c r="N16" i="8" s="1"/>
  <c r="V22" i="8"/>
  <c r="N24" i="8"/>
  <c r="V27" i="8"/>
  <c r="V29" i="8" s="1"/>
  <c r="V35" i="8"/>
  <c r="I7" i="8"/>
  <c r="N18" i="8"/>
  <c r="V30" i="8"/>
  <c r="V38" i="8"/>
  <c r="O18" i="8"/>
  <c r="V33" i="8"/>
  <c r="V36" i="8"/>
  <c r="H7" i="8"/>
  <c r="H9" i="8" s="1"/>
  <c r="N17" i="8"/>
  <c r="X18" i="8"/>
  <c r="J27" i="4"/>
  <c r="J26" i="4"/>
  <c r="M6" i="1"/>
  <c r="J8" i="4"/>
  <c r="M9" i="1"/>
  <c r="G7" i="1" s="1"/>
  <c r="G8" i="1"/>
  <c r="H8" i="1"/>
  <c r="I8" i="1"/>
  <c r="W27" i="1"/>
  <c r="W28" i="1"/>
  <c r="W29" i="1"/>
  <c r="U35" i="1"/>
  <c r="X35" i="1"/>
  <c r="U36" i="1"/>
  <c r="X36" i="1"/>
  <c r="U37" i="1"/>
  <c r="X37" i="1"/>
  <c r="U38" i="1"/>
  <c r="X38" i="1"/>
  <c r="U28" i="1"/>
  <c r="X28" i="1"/>
  <c r="U22" i="1"/>
  <c r="X22" i="1"/>
  <c r="U23" i="1"/>
  <c r="X23" i="1"/>
  <c r="U24" i="1"/>
  <c r="X24" i="1"/>
  <c r="U25" i="1"/>
  <c r="X25" i="1"/>
  <c r="U17" i="1"/>
  <c r="X17" i="1"/>
  <c r="U18" i="1"/>
  <c r="X18" i="1"/>
  <c r="U19" i="1"/>
  <c r="X19" i="1"/>
  <c r="M22" i="1"/>
  <c r="P22" i="1"/>
  <c r="M23" i="1"/>
  <c r="P23" i="1"/>
  <c r="M24" i="1"/>
  <c r="P24" i="1"/>
  <c r="M25" i="1"/>
  <c r="P25" i="1"/>
  <c r="M17" i="1"/>
  <c r="P17" i="1"/>
  <c r="M18" i="1"/>
  <c r="P18" i="1"/>
  <c r="M19" i="1"/>
  <c r="P19" i="1"/>
  <c r="H35" i="1"/>
  <c r="H36" i="1"/>
  <c r="H37" i="1"/>
  <c r="H38" i="1"/>
  <c r="H28" i="1"/>
  <c r="H22" i="1"/>
  <c r="H23" i="1"/>
  <c r="H24" i="1"/>
  <c r="H25" i="1"/>
  <c r="H17" i="1"/>
  <c r="H18" i="1"/>
  <c r="H19" i="1"/>
  <c r="J9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50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28" i="4"/>
  <c r="J5" i="4"/>
  <c r="J6" i="4"/>
  <c r="J7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4" i="4"/>
  <c r="F9" i="1"/>
  <c r="E9" i="1"/>
  <c r="O27" i="1"/>
  <c r="W32" i="1"/>
  <c r="Q11" i="1"/>
  <c r="P11" i="1"/>
  <c r="F35" i="1"/>
  <c r="F36" i="1"/>
  <c r="F37" i="1"/>
  <c r="F38" i="1"/>
  <c r="F24" i="1"/>
  <c r="F25" i="1"/>
  <c r="F17" i="1"/>
  <c r="F18" i="1"/>
  <c r="F19" i="1"/>
  <c r="G26" i="1"/>
  <c r="G20" i="1"/>
  <c r="T30" i="1"/>
  <c r="T27" i="1"/>
  <c r="T21" i="1"/>
  <c r="T15" i="1"/>
  <c r="L21" i="1"/>
  <c r="L15" i="1"/>
  <c r="U31" i="1"/>
  <c r="U32" i="1"/>
  <c r="U33" i="1"/>
  <c r="U34" i="1"/>
  <c r="V35" i="1"/>
  <c r="V36" i="1"/>
  <c r="V37" i="1"/>
  <c r="V38" i="1"/>
  <c r="U30" i="1"/>
  <c r="U27" i="1"/>
  <c r="U16" i="1"/>
  <c r="U15" i="1"/>
  <c r="V25" i="1"/>
  <c r="W24" i="1"/>
  <c r="U21" i="1"/>
  <c r="N24" i="1"/>
  <c r="N25" i="1"/>
  <c r="M21" i="1"/>
  <c r="M16" i="1"/>
  <c r="M15" i="1"/>
  <c r="W30" i="1"/>
  <c r="W31" i="1"/>
  <c r="W33" i="1"/>
  <c r="W34" i="1"/>
  <c r="W35" i="1"/>
  <c r="W36" i="1"/>
  <c r="W37" i="1"/>
  <c r="W38" i="1"/>
  <c r="F29" i="1"/>
  <c r="G5" i="1"/>
  <c r="I5" i="1" s="1"/>
  <c r="I10" i="1" s="1"/>
  <c r="K52" i="4"/>
  <c r="K51" i="4"/>
  <c r="N27" i="1"/>
  <c r="W25" i="1"/>
  <c r="V24" i="1"/>
  <c r="O25" i="1"/>
  <c r="O24" i="1"/>
  <c r="V30" i="1"/>
  <c r="G39" i="1"/>
  <c r="F21" i="1"/>
  <c r="F22" i="1"/>
  <c r="F28" i="1"/>
  <c r="V28" i="1"/>
  <c r="F33" i="1"/>
  <c r="V34" i="1"/>
  <c r="V27" i="1"/>
  <c r="F32" i="1"/>
  <c r="F27" i="1"/>
  <c r="F30" i="1"/>
  <c r="V33" i="1"/>
  <c r="V32" i="1"/>
  <c r="F15" i="1"/>
  <c r="V31" i="1"/>
  <c r="F34" i="1"/>
  <c r="F16" i="1"/>
  <c r="F31" i="1"/>
  <c r="F23" i="1"/>
  <c r="O17" i="1"/>
  <c r="O15" i="1"/>
  <c r="N15" i="1"/>
  <c r="O18" i="1"/>
  <c r="N18" i="1"/>
  <c r="O16" i="1"/>
  <c r="W16" i="1"/>
  <c r="V16" i="1"/>
  <c r="O19" i="1"/>
  <c r="N19" i="1"/>
  <c r="W17" i="1"/>
  <c r="V17" i="1"/>
  <c r="V29" i="1"/>
  <c r="F26" i="1"/>
  <c r="F20" i="1"/>
  <c r="N16" i="1"/>
  <c r="N17" i="1"/>
  <c r="W15" i="1"/>
  <c r="V15" i="1"/>
  <c r="W18" i="1"/>
  <c r="W19" i="1"/>
  <c r="V19" i="1"/>
  <c r="O20" i="1"/>
  <c r="N20" i="1"/>
  <c r="O22" i="1"/>
  <c r="N22" i="1"/>
  <c r="O23" i="1"/>
  <c r="N23" i="1"/>
  <c r="O21" i="1"/>
  <c r="N21" i="1"/>
  <c r="W20" i="1"/>
  <c r="V18" i="1"/>
  <c r="V20" i="1"/>
  <c r="N26" i="1"/>
  <c r="W21" i="1"/>
  <c r="O26" i="1"/>
  <c r="W22" i="1"/>
  <c r="V22" i="1"/>
  <c r="W23" i="1"/>
  <c r="V23" i="1"/>
  <c r="N28" i="1"/>
  <c r="W26" i="1"/>
  <c r="W39" i="1"/>
  <c r="V21" i="1"/>
  <c r="V26" i="1"/>
  <c r="H39" i="8" l="1"/>
  <c r="I39" i="8" s="1"/>
  <c r="H28" i="8" s="1"/>
  <c r="H7" i="1"/>
  <c r="H9" i="1" s="1"/>
  <c r="G9" i="1"/>
  <c r="H39" i="1" s="1"/>
  <c r="I39" i="1" s="1"/>
  <c r="I7" i="1"/>
  <c r="P16" i="8"/>
  <c r="H34" i="8"/>
  <c r="H31" i="8"/>
  <c r="H33" i="8"/>
  <c r="H15" i="8"/>
  <c r="H30" i="8"/>
  <c r="H21" i="8"/>
  <c r="H26" i="8" s="1"/>
  <c r="H32" i="8"/>
  <c r="H16" i="8"/>
  <c r="H27" i="8"/>
  <c r="P27" i="8"/>
  <c r="X34" i="8"/>
  <c r="W16" i="8"/>
  <c r="N20" i="8"/>
  <c r="H5" i="1"/>
  <c r="O20" i="8"/>
  <c r="O21" i="8" s="1"/>
  <c r="W20" i="8"/>
  <c r="X32" i="8"/>
  <c r="X31" i="8"/>
  <c r="X27" i="8"/>
  <c r="X15" i="8"/>
  <c r="X30" i="8"/>
  <c r="X33" i="8" l="1"/>
  <c r="P15" i="8"/>
  <c r="X28" i="8"/>
  <c r="X29" i="8" s="1"/>
  <c r="P20" i="8"/>
  <c r="H20" i="8"/>
  <c r="W21" i="8"/>
  <c r="O26" i="8"/>
  <c r="P21" i="8"/>
  <c r="P26" i="8" s="1"/>
  <c r="N21" i="8"/>
  <c r="N26" i="8" s="1"/>
  <c r="N28" i="8" s="1"/>
  <c r="X16" i="8"/>
  <c r="X20" i="8" s="1"/>
  <c r="V16" i="8"/>
  <c r="V20" i="8" s="1"/>
  <c r="X33" i="1"/>
  <c r="H15" i="1"/>
  <c r="H27" i="1"/>
  <c r="H30" i="1"/>
  <c r="X31" i="1"/>
  <c r="X21" i="1"/>
  <c r="X26" i="1" s="1"/>
  <c r="H16" i="1"/>
  <c r="H31" i="1"/>
  <c r="X32" i="1"/>
  <c r="X16" i="1"/>
  <c r="H32" i="1"/>
  <c r="P15" i="1"/>
  <c r="X15" i="1"/>
  <c r="X20" i="1" s="1"/>
  <c r="X27" i="1"/>
  <c r="X29" i="1" s="1"/>
  <c r="P21" i="1"/>
  <c r="P26" i="1" s="1"/>
  <c r="H21" i="1"/>
  <c r="H26" i="1" s="1"/>
  <c r="H33" i="1"/>
  <c r="P16" i="1"/>
  <c r="X30" i="1"/>
  <c r="X34" i="1"/>
  <c r="H34" i="1"/>
  <c r="P27" i="1"/>
  <c r="P20" i="1" l="1"/>
  <c r="H20" i="1"/>
  <c r="X39" i="1"/>
  <c r="W26" i="8"/>
  <c r="W39" i="8" s="1"/>
  <c r="X21" i="8"/>
  <c r="X26" i="8" s="1"/>
  <c r="X39" i="8" s="1"/>
  <c r="V21" i="8"/>
  <c r="V26" i="8" s="1"/>
</calcChain>
</file>

<file path=xl/sharedStrings.xml><?xml version="1.0" encoding="utf-8"?>
<sst xmlns="http://schemas.openxmlformats.org/spreadsheetml/2006/main" count="373" uniqueCount="182">
  <si>
    <t>제품명</t>
    <phoneticPr fontId="2" type="noConversion"/>
  </si>
  <si>
    <t>소금빵</t>
    <phoneticPr fontId="2" type="noConversion"/>
  </si>
  <si>
    <t>만든이</t>
    <phoneticPr fontId="2" type="noConversion"/>
  </si>
  <si>
    <t>호야 TV</t>
    <phoneticPr fontId="2" type="noConversion"/>
  </si>
  <si>
    <t>팬종류</t>
    <phoneticPr fontId="2" type="noConversion"/>
  </si>
  <si>
    <t>팬수량</t>
    <phoneticPr fontId="2" type="noConversion"/>
  </si>
  <si>
    <t>반죽 분할 수량</t>
    <phoneticPr fontId="2" type="noConversion"/>
  </si>
  <si>
    <t>팬단총중량</t>
    <phoneticPr fontId="2" type="noConversion"/>
  </si>
  <si>
    <t>분할 중량</t>
    <phoneticPr fontId="2" type="noConversion"/>
  </si>
  <si>
    <t>총중량</t>
    <phoneticPr fontId="2" type="noConversion"/>
  </si>
  <si>
    <t>비용적</t>
    <phoneticPr fontId="2" type="noConversion"/>
  </si>
  <si>
    <t>오븐</t>
    <phoneticPr fontId="2" type="noConversion"/>
  </si>
  <si>
    <t>단수</t>
    <phoneticPr fontId="2" type="noConversion"/>
  </si>
  <si>
    <t>1차 온도</t>
    <phoneticPr fontId="2" type="noConversion"/>
  </si>
  <si>
    <t>1차 시간</t>
    <phoneticPr fontId="2" type="noConversion"/>
  </si>
  <si>
    <t>2차 온도</t>
    <phoneticPr fontId="2" type="noConversion"/>
  </si>
  <si>
    <t>2차 시간</t>
    <phoneticPr fontId="2" type="noConversion"/>
  </si>
  <si>
    <t>대분류</t>
    <phoneticPr fontId="2" type="noConversion"/>
  </si>
  <si>
    <t>소분류</t>
    <phoneticPr fontId="2" type="noConversion"/>
  </si>
  <si>
    <t>원레시피</t>
    <phoneticPr fontId="2" type="noConversion"/>
  </si>
  <si>
    <t>윗불</t>
    <phoneticPr fontId="2" type="noConversion"/>
  </si>
  <si>
    <t>아랫불</t>
    <phoneticPr fontId="2" type="noConversion"/>
  </si>
  <si>
    <t>사각팬</t>
  </si>
  <si>
    <t>풀먼식빵팬</t>
  </si>
  <si>
    <t>제품종류</t>
    <phoneticPr fontId="2" type="noConversion"/>
  </si>
  <si>
    <t>컨밴션</t>
    <phoneticPr fontId="2" type="noConversion"/>
  </si>
  <si>
    <t xml:space="preserve">위에서 </t>
    <phoneticPr fontId="2" type="noConversion"/>
  </si>
  <si>
    <t>단</t>
    <phoneticPr fontId="2" type="noConversion"/>
  </si>
  <si>
    <t>변경레시피 틀</t>
    <phoneticPr fontId="2" type="noConversion"/>
  </si>
  <si>
    <t>산형식빵</t>
  </si>
  <si>
    <t>데크</t>
    <phoneticPr fontId="2" type="noConversion"/>
  </si>
  <si>
    <t>변경레시피</t>
    <phoneticPr fontId="2" type="noConversion"/>
  </si>
  <si>
    <t>에어프라이어</t>
    <phoneticPr fontId="2" type="noConversion"/>
  </si>
  <si>
    <t>합계</t>
    <phoneticPr fontId="2" type="noConversion"/>
  </si>
  <si>
    <t>손실</t>
    <phoneticPr fontId="2" type="noConversion"/>
  </si>
  <si>
    <t>사전반죽</t>
    <phoneticPr fontId="2" type="noConversion"/>
  </si>
  <si>
    <t>중종법(스폰지법)</t>
  </si>
  <si>
    <t>밀가루</t>
    <phoneticPr fontId="2" type="noConversion"/>
  </si>
  <si>
    <t>수분</t>
    <phoneticPr fontId="2" type="noConversion"/>
  </si>
  <si>
    <t>본반죽</t>
    <phoneticPr fontId="2" type="noConversion"/>
  </si>
  <si>
    <t>순</t>
    <phoneticPr fontId="2" type="noConversion"/>
  </si>
  <si>
    <t>중분류</t>
    <phoneticPr fontId="2" type="noConversion"/>
  </si>
  <si>
    <t>원래시피</t>
    <phoneticPr fontId="2" type="noConversion"/>
  </si>
  <si>
    <t>비고</t>
    <phoneticPr fontId="2" type="noConversion"/>
  </si>
  <si>
    <t>비율(%)</t>
    <phoneticPr fontId="2" type="noConversion"/>
  </si>
  <si>
    <t>무게(g)</t>
    <phoneticPr fontId="2" type="noConversion"/>
  </si>
  <si>
    <t>강력분</t>
    <phoneticPr fontId="2" type="noConversion"/>
  </si>
  <si>
    <t>박력분</t>
    <phoneticPr fontId="2" type="noConversion"/>
  </si>
  <si>
    <t>밀가루 합계</t>
    <phoneticPr fontId="2" type="noConversion"/>
  </si>
  <si>
    <t>물</t>
    <phoneticPr fontId="2" type="noConversion"/>
  </si>
  <si>
    <t>수분 합계</t>
    <phoneticPr fontId="2" type="noConversion"/>
  </si>
  <si>
    <t>기타수분</t>
    <phoneticPr fontId="2" type="noConversion"/>
  </si>
  <si>
    <t>버터</t>
    <phoneticPr fontId="2" type="noConversion"/>
  </si>
  <si>
    <t>수분 18%</t>
    <phoneticPr fontId="2" type="noConversion"/>
  </si>
  <si>
    <t>기타</t>
    <phoneticPr fontId="2" type="noConversion"/>
  </si>
  <si>
    <t>이스트</t>
    <phoneticPr fontId="2" type="noConversion"/>
  </si>
  <si>
    <t>전란 75%</t>
    <phoneticPr fontId="2" type="noConversion"/>
  </si>
  <si>
    <t>수분비율</t>
    <phoneticPr fontId="2" type="noConversion"/>
  </si>
  <si>
    <t>소금</t>
    <phoneticPr fontId="2" type="noConversion"/>
  </si>
  <si>
    <t>*NOTE</t>
    <phoneticPr fontId="2" type="noConversion"/>
  </si>
  <si>
    <t>설탕</t>
    <phoneticPr fontId="2" type="noConversion"/>
  </si>
  <si>
    <t>탈지분유</t>
    <phoneticPr fontId="2" type="noConversion"/>
  </si>
  <si>
    <t>묵은반준</t>
    <phoneticPr fontId="2" type="noConversion"/>
  </si>
  <si>
    <t>계</t>
    <phoneticPr fontId="2" type="noConversion"/>
  </si>
  <si>
    <t>계란 비율</t>
    <phoneticPr fontId="2" type="noConversion"/>
  </si>
  <si>
    <t>재료별 수율</t>
    <phoneticPr fontId="2" type="noConversion"/>
  </si>
  <si>
    <t>껍질</t>
    <phoneticPr fontId="2" type="noConversion"/>
  </si>
  <si>
    <t>계란(전란)</t>
    <phoneticPr fontId="2" type="noConversion"/>
  </si>
  <si>
    <t>노른자</t>
    <phoneticPr fontId="2" type="noConversion"/>
  </si>
  <si>
    <t>흰자</t>
    <phoneticPr fontId="2" type="noConversion"/>
  </si>
  <si>
    <t>우유</t>
    <phoneticPr fontId="2" type="noConversion"/>
  </si>
  <si>
    <t>반죽에 들어가는 소금은</t>
    <phoneticPr fontId="2" type="noConversion"/>
  </si>
  <si>
    <t>밀가우의 1.5~2.5%</t>
    <phoneticPr fontId="2" type="noConversion"/>
  </si>
  <si>
    <t>연유</t>
    <phoneticPr fontId="2" type="noConversion"/>
  </si>
  <si>
    <t>물 또는 액체류 비율</t>
    <phoneticPr fontId="2" type="noConversion"/>
  </si>
  <si>
    <t>식빵</t>
    <phoneticPr fontId="2" type="noConversion"/>
  </si>
  <si>
    <t>55~68</t>
    <phoneticPr fontId="2" type="noConversion"/>
  </si>
  <si>
    <t>치아바타</t>
    <phoneticPr fontId="2" type="noConversion"/>
  </si>
  <si>
    <t>68~80</t>
    <phoneticPr fontId="2" type="noConversion"/>
  </si>
  <si>
    <t>바게트</t>
    <phoneticPr fontId="2" type="noConversion"/>
  </si>
  <si>
    <t>60~70</t>
    <phoneticPr fontId="2" type="noConversion"/>
  </si>
  <si>
    <t>@비중</t>
  </si>
  <si>
    <t>같은 부피의 물 무게에 대한 반죽 무게.</t>
  </si>
  <si>
    <t>비중 = 반죽무게 / 물무게</t>
  </si>
  <si>
    <t>@반죽량과 케익 팬의 용적</t>
  </si>
  <si>
    <t>1)팬닝</t>
  </si>
  <si>
    <t>반죽무게 = 비용적 / 용적 (반죽 1g을 굽는데 필요한 틀 부피)</t>
  </si>
  <si>
    <t>2)비용적=파운드 케이크 - 2.40㎤</t>
  </si>
  <si>
    <t>         레이어 케이크 - 2.96㎤</t>
  </si>
  <si>
    <t>         에인젤 푸드 케이크 - 4.71㎤</t>
  </si>
  <si>
    <t>         스펀지 케이크 - 5.08㎤</t>
  </si>
  <si>
    <t>3)케익 팬 용적 계산</t>
  </si>
  <si>
    <t>(1)곧은 옆면의 원형 팬</t>
  </si>
  <si>
    <t>용적 = 바닥넓이 X 높이 = 반지름 X 반지름 X 3.14 X 높이</t>
  </si>
  <si>
    <t>(2)경사진 옆면의 원형 팬</t>
  </si>
  <si>
    <t>용적 = 평균 반지름 X 평균 반지름 X 3.14 X 높이</t>
  </si>
  <si>
    <t>(3)경사진 옆면과 안쪽 관을 가진 원형 팬</t>
  </si>
  <si>
    <t>*바깥 팬 용적 = 평균 반지름 X 평균 반지름 X 3.14 X 높이 (안 치수)</t>
  </si>
  <si>
    <t>*안쪽 관 체적 = 평균 반지름 X 평균 반지름 X 3.14 X 높이 (바깥 치수)</t>
  </si>
  <si>
    <t>*실제 용적 = 바깥 팬 용적 - 안쪽 관체적</t>
  </si>
  <si>
    <t>*경사면을 가진 직육면체 용적 = 평균 가로 X 평균 세로 X 공통 깊이</t>
  </si>
  <si>
    <t>액종(중종법)</t>
    <phoneticPr fontId="2" type="noConversion"/>
  </si>
  <si>
    <t>전체 분량의 30~40% 밀가루에 1:1로 물을 섞어 만든다</t>
    <phoneticPr fontId="2" type="noConversion"/>
  </si>
  <si>
    <t>밑면</t>
    <phoneticPr fontId="2" type="noConversion"/>
  </si>
  <si>
    <t>윗면(밑면,윗면이 틀린경우 입력)</t>
    <phoneticPr fontId="2" type="noConversion"/>
  </si>
  <si>
    <t>총부피(cm3)</t>
    <phoneticPr fontId="2" type="noConversion"/>
  </si>
  <si>
    <t>가로(mm)</t>
    <phoneticPr fontId="2" type="noConversion"/>
  </si>
  <si>
    <t>세로(mm)</t>
    <phoneticPr fontId="2" type="noConversion"/>
  </si>
  <si>
    <t>높이(mm)</t>
    <phoneticPr fontId="2" type="noConversion"/>
  </si>
  <si>
    <t>사각팬</t>
    <phoneticPr fontId="2" type="noConversion"/>
  </si>
  <si>
    <t>오란다(소)</t>
    <phoneticPr fontId="2" type="noConversion"/>
  </si>
  <si>
    <t>오란다(대)</t>
    <phoneticPr fontId="2" type="noConversion"/>
  </si>
  <si>
    <t>옥수수식빵(3구)</t>
    <phoneticPr fontId="2" type="noConversion"/>
  </si>
  <si>
    <t>우유식빵(4구)</t>
    <phoneticPr fontId="2" type="noConversion"/>
  </si>
  <si>
    <t>풀먼식빵팬</t>
    <phoneticPr fontId="2" type="noConversion"/>
  </si>
  <si>
    <t>큐브식빵팬</t>
    <phoneticPr fontId="2" type="noConversion"/>
  </si>
  <si>
    <t>파운드팬(중)</t>
    <phoneticPr fontId="2" type="noConversion"/>
  </si>
  <si>
    <t>정사각틀 1호</t>
    <phoneticPr fontId="2" type="noConversion"/>
  </si>
  <si>
    <t>정사각틀 2호</t>
  </si>
  <si>
    <t>정사각틀 3호</t>
  </si>
  <si>
    <t>정사각틀 4호</t>
  </si>
  <si>
    <t>정사각틀 5호</t>
  </si>
  <si>
    <t>정사각틀 6호</t>
  </si>
  <si>
    <t>사각무스링1호</t>
    <phoneticPr fontId="2" type="noConversion"/>
  </si>
  <si>
    <t>사각무스링2호</t>
  </si>
  <si>
    <t>사각무스링3호</t>
  </si>
  <si>
    <t>윗지름(mm)</t>
    <phoneticPr fontId="2" type="noConversion"/>
  </si>
  <si>
    <t>아래지름(mm)</t>
    <phoneticPr fontId="2" type="noConversion"/>
  </si>
  <si>
    <t>원형팬</t>
    <phoneticPr fontId="2" type="noConversion"/>
  </si>
  <si>
    <t>낮은원형틀 미니</t>
    <phoneticPr fontId="2" type="noConversion"/>
  </si>
  <si>
    <t>높은원형틀 미니</t>
    <phoneticPr fontId="2" type="noConversion"/>
  </si>
  <si>
    <t>높은원형틀 1호</t>
    <phoneticPr fontId="2" type="noConversion"/>
  </si>
  <si>
    <t>높은원형틀 2호</t>
  </si>
  <si>
    <t>높은원형틀 3호</t>
  </si>
  <si>
    <t>원형무스링1호</t>
    <phoneticPr fontId="2" type="noConversion"/>
  </si>
  <si>
    <t>원형무스링2호</t>
  </si>
  <si>
    <t>원형무스링3호</t>
  </si>
  <si>
    <t>타르트팬1호</t>
    <phoneticPr fontId="2" type="noConversion"/>
  </si>
  <si>
    <t>타르트팬2호</t>
  </si>
  <si>
    <t>타르트팬3호</t>
  </si>
  <si>
    <t>타르트팬4호</t>
  </si>
  <si>
    <t>틀</t>
    <phoneticPr fontId="2" type="noConversion"/>
  </si>
  <si>
    <t>기둥</t>
    <phoneticPr fontId="2" type="noConversion"/>
  </si>
  <si>
    <t>쉬폰팬</t>
    <phoneticPr fontId="2" type="noConversion"/>
  </si>
  <si>
    <t>쉬폰팬 1호</t>
    <phoneticPr fontId="2" type="noConversion"/>
  </si>
  <si>
    <t>쉬폰팬 2호</t>
  </si>
  <si>
    <t>쉬폰팬 3호</t>
  </si>
  <si>
    <t>구분</t>
    <phoneticPr fontId="2" type="noConversion"/>
  </si>
  <si>
    <t>폴리쉬</t>
    <phoneticPr fontId="2" type="noConversion"/>
  </si>
  <si>
    <t>비가</t>
    <phoneticPr fontId="2" type="noConversion"/>
  </si>
  <si>
    <t>중종법(스폰지법)</t>
    <phoneticPr fontId="2" type="noConversion"/>
  </si>
  <si>
    <t>반죽무게=틀부피/비용적</t>
    <phoneticPr fontId="2" type="noConversion"/>
  </si>
  <si>
    <t>비용적=틀부피/반죽무게</t>
    <phoneticPr fontId="2" type="noConversion"/>
  </si>
  <si>
    <t>각제품</t>
    <phoneticPr fontId="2" type="noConversion"/>
  </si>
  <si>
    <t>단위(cm3/g)</t>
    <phoneticPr fontId="2" type="noConversion"/>
  </si>
  <si>
    <t>변경값</t>
    <phoneticPr fontId="2" type="noConversion"/>
  </si>
  <si>
    <t>기준</t>
    <phoneticPr fontId="2" type="noConversion"/>
  </si>
  <si>
    <t>파운드케이크</t>
    <phoneticPr fontId="2" type="noConversion"/>
  </si>
  <si>
    <t>레이어케이크</t>
    <phoneticPr fontId="2" type="noConversion"/>
  </si>
  <si>
    <t>엔젤푸드케이크</t>
    <phoneticPr fontId="2" type="noConversion"/>
  </si>
  <si>
    <t>스펀지케이크</t>
    <phoneticPr fontId="2" type="noConversion"/>
  </si>
  <si>
    <t>풀먼식빵</t>
    <phoneticPr fontId="2" type="noConversion"/>
  </si>
  <si>
    <t>3.3~4</t>
    <phoneticPr fontId="2" type="noConversion"/>
  </si>
  <si>
    <t>산형식빵</t>
    <phoneticPr fontId="2" type="noConversion"/>
  </si>
  <si>
    <t>3.2~3.4</t>
    <phoneticPr fontId="2" type="noConversion"/>
  </si>
  <si>
    <t>비상스트레이트 식빵</t>
    <phoneticPr fontId="2" type="noConversion"/>
  </si>
  <si>
    <t>밤식빵</t>
    <phoneticPr fontId="2" type="noConversion"/>
  </si>
  <si>
    <t>버터톱식빵</t>
    <phoneticPr fontId="2" type="noConversion"/>
  </si>
  <si>
    <t>옥수수식빵</t>
    <phoneticPr fontId="2" type="noConversion"/>
  </si>
  <si>
    <t>초코식빵</t>
    <phoneticPr fontId="2" type="noConversion"/>
  </si>
  <si>
    <t>초코포함</t>
    <phoneticPr fontId="2" type="noConversion"/>
  </si>
  <si>
    <t>(빵준서)</t>
    <phoneticPr fontId="2" type="noConversion"/>
  </si>
  <si>
    <t>생크림식빵</t>
    <phoneticPr fontId="2" type="noConversion"/>
  </si>
  <si>
    <t>오란다(소)</t>
  </si>
  <si>
    <t>중력분</t>
    <phoneticPr fontId="2" type="noConversion"/>
  </si>
  <si>
    <t>달걀</t>
    <phoneticPr fontId="2" type="noConversion"/>
  </si>
  <si>
    <t>호두</t>
    <phoneticPr fontId="2" type="noConversion"/>
  </si>
  <si>
    <t>무화과</t>
    <phoneticPr fontId="2" type="noConversion"/>
  </si>
  <si>
    <t>커피</t>
    <phoneticPr fontId="2" type="noConversion"/>
  </si>
  <si>
    <t>산형식빵</t>
    <phoneticPr fontId="2" type="noConversion"/>
  </si>
  <si>
    <t>실리콘큐브</t>
  </si>
  <si>
    <t>실리콘큐브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</si>
</sst>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_ "/>
    <numFmt numFmtId="177" formatCode="0.0%"/>
    <numFmt numFmtId="178" formatCode="0.0000"/>
    <numFmt numFmtId="179" formatCode="General&quot;℃&quot;"/>
    <numFmt numFmtId="180" formatCode="General&quot;분&quot;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Border="1" applyAlignment="1">
      <alignment vertical="center" shrinkToFit="1"/>
    </xf>
    <xf numFmtId="0" fontId="0" fillId="0" borderId="0" xfId="0" applyAlignment="1">
      <alignment horizontal="center" vertical="center" shrinkToFit="1"/>
    </xf>
    <xf numFmtId="176" fontId="0" fillId="0" borderId="1" xfId="1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0" fontId="0" fillId="4" borderId="3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" fontId="0" fillId="0" borderId="1" xfId="0" applyNumberFormat="1" applyBorder="1" applyAlignment="1">
      <alignment horizontal="center" vertical="center" shrinkToFit="1"/>
    </xf>
    <xf numFmtId="1" fontId="0" fillId="0" borderId="1" xfId="0" applyNumberForma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9" fontId="0" fillId="3" borderId="22" xfId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9" fontId="0" fillId="3" borderId="3" xfId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3" borderId="14" xfId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1" fontId="0" fillId="3" borderId="31" xfId="0" applyNumberFormat="1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 shrinkToFit="1"/>
    </xf>
    <xf numFmtId="0" fontId="0" fillId="2" borderId="22" xfId="0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0" fillId="3" borderId="22" xfId="0" applyFill="1" applyBorder="1" applyAlignment="1">
      <alignment horizontal="center" vertical="center" shrinkToFit="1"/>
    </xf>
    <xf numFmtId="0" fontId="0" fillId="3" borderId="23" xfId="0" applyFill="1" applyBorder="1" applyAlignment="1">
      <alignment horizontal="center" vertical="center" shrinkToFit="1"/>
    </xf>
    <xf numFmtId="0" fontId="0" fillId="6" borderId="34" xfId="0" applyFill="1" applyBorder="1" applyAlignment="1">
      <alignment horizontal="center" vertical="center"/>
    </xf>
    <xf numFmtId="176" fontId="0" fillId="0" borderId="14" xfId="1" applyNumberFormat="1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176" fontId="0" fillId="3" borderId="22" xfId="0" applyNumberFormat="1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77" fontId="0" fillId="3" borderId="31" xfId="1" applyNumberFormat="1" applyFont="1" applyFill="1" applyBorder="1" applyAlignment="1">
      <alignment horizontal="center" vertical="center"/>
    </xf>
    <xf numFmtId="176" fontId="0" fillId="0" borderId="31" xfId="1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9" fontId="0" fillId="3" borderId="31" xfId="1" applyFont="1" applyFill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9" fontId="0" fillId="3" borderId="23" xfId="1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0" fontId="0" fillId="4" borderId="14" xfId="0" applyFill="1" applyBorder="1" applyAlignment="1">
      <alignment horizontal="center" vertical="center" shrinkToFit="1"/>
    </xf>
    <xf numFmtId="0" fontId="0" fillId="4" borderId="14" xfId="0" applyFill="1" applyBorder="1" applyAlignment="1">
      <alignment horizontal="center" vertical="center" wrapText="1"/>
    </xf>
    <xf numFmtId="0" fontId="0" fillId="4" borderId="35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shrinkToFit="1"/>
    </xf>
    <xf numFmtId="0" fontId="0" fillId="4" borderId="17" xfId="0" applyFill="1" applyBorder="1" applyAlignment="1">
      <alignment horizontal="center" vertical="center" shrinkToFit="1"/>
    </xf>
    <xf numFmtId="0" fontId="0" fillId="3" borderId="2" xfId="0" applyFill="1" applyBorder="1" applyAlignment="1">
      <alignment horizontal="center" vertical="center" shrinkToFit="1"/>
    </xf>
    <xf numFmtId="0" fontId="0" fillId="3" borderId="45" xfId="0" applyFill="1" applyBorder="1" applyAlignment="1">
      <alignment horizontal="center" vertical="center" shrinkToFit="1"/>
    </xf>
    <xf numFmtId="0" fontId="0" fillId="3" borderId="46" xfId="0" applyFill="1" applyBorder="1" applyAlignment="1">
      <alignment horizontal="center" vertical="center"/>
    </xf>
    <xf numFmtId="176" fontId="0" fillId="3" borderId="46" xfId="0" applyNumberFormat="1" applyFill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8" fontId="0" fillId="3" borderId="32" xfId="0" applyNumberFormat="1" applyFill="1" applyBorder="1" applyAlignment="1">
      <alignment horizontal="center" vertical="center"/>
    </xf>
    <xf numFmtId="180" fontId="0" fillId="0" borderId="19" xfId="0" applyNumberFormat="1" applyBorder="1" applyAlignment="1">
      <alignment horizontal="center" vertical="center"/>
    </xf>
    <xf numFmtId="180" fontId="0" fillId="0" borderId="23" xfId="0" applyNumberFormat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 shrinkToFit="1"/>
    </xf>
    <xf numFmtId="0" fontId="0" fillId="0" borderId="47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0" fontId="0" fillId="4" borderId="14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 shrinkToFit="1"/>
    </xf>
    <xf numFmtId="0" fontId="0" fillId="6" borderId="34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4" borderId="30" xfId="0" applyFont="1" applyFill="1" applyBorder="1" applyAlignment="1">
      <alignment horizontal="center" vertical="center" shrinkToFit="1"/>
    </xf>
    <xf numFmtId="0" fontId="3" fillId="4" borderId="31" xfId="0" applyFont="1" applyFill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0" fillId="5" borderId="38" xfId="0" applyFill="1" applyBorder="1" applyAlignment="1">
      <alignment horizontal="center" vertical="center" shrinkToFit="1"/>
    </xf>
    <xf numFmtId="0" fontId="0" fillId="5" borderId="22" xfId="0" applyFill="1" applyBorder="1" applyAlignment="1">
      <alignment horizontal="center" vertical="center" shrinkToFit="1"/>
    </xf>
    <xf numFmtId="0" fontId="0" fillId="6" borderId="3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3" fillId="0" borderId="32" xfId="0" applyFont="1" applyBorder="1" applyAlignment="1">
      <alignment horizontal="center" vertical="center" shrinkToFit="1"/>
    </xf>
    <xf numFmtId="0" fontId="0" fillId="4" borderId="22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shrinkToFit="1"/>
    </xf>
    <xf numFmtId="0" fontId="0" fillId="2" borderId="10" xfId="0" applyFill="1" applyBorder="1" applyAlignment="1">
      <alignment horizontal="center" vertical="center" shrinkToFit="1"/>
    </xf>
    <xf numFmtId="0" fontId="0" fillId="4" borderId="1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 shrinkToFit="1"/>
    </xf>
    <xf numFmtId="0" fontId="0" fillId="4" borderId="10" xfId="0" applyFill="1" applyBorder="1" applyAlignment="1">
      <alignment horizontal="center" vertical="center" shrinkToFit="1"/>
    </xf>
    <xf numFmtId="0" fontId="0" fillId="2" borderId="20" xfId="0" applyFill="1" applyBorder="1" applyAlignment="1">
      <alignment horizontal="center" vertical="center" shrinkToFit="1"/>
    </xf>
    <xf numFmtId="0" fontId="0" fillId="2" borderId="21" xfId="0" applyFill="1" applyBorder="1" applyAlignment="1">
      <alignment horizontal="center" vertical="center" shrinkToFit="1"/>
    </xf>
    <xf numFmtId="0" fontId="0" fillId="4" borderId="19" xfId="0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22" xfId="0" applyNumberFormat="1" applyBorder="1" applyAlignment="1">
      <alignment horizontal="center" vertical="center"/>
    </xf>
    <xf numFmtId="0" fontId="0" fillId="7" borderId="27" xfId="0" applyFill="1" applyBorder="1" applyAlignment="1">
      <alignment horizontal="center" vertical="center" shrinkToFit="1"/>
    </xf>
    <xf numFmtId="0" fontId="0" fillId="7" borderId="36" xfId="0" applyFill="1" applyBorder="1" applyAlignment="1">
      <alignment horizontal="center" vertical="center" shrinkToFit="1"/>
    </xf>
    <xf numFmtId="0" fontId="0" fillId="7" borderId="37" xfId="0" applyFill="1" applyBorder="1" applyAlignment="1">
      <alignment horizontal="center" vertical="center" shrinkToFit="1"/>
    </xf>
    <xf numFmtId="0" fontId="0" fillId="4" borderId="27" xfId="0" applyFill="1" applyBorder="1" applyAlignment="1">
      <alignment horizontal="center" vertical="center" shrinkToFit="1"/>
    </xf>
    <xf numFmtId="0" fontId="0" fillId="4" borderId="36" xfId="0" applyFill="1" applyBorder="1" applyAlignment="1">
      <alignment horizontal="center" vertical="center" shrinkToFit="1"/>
    </xf>
    <xf numFmtId="0" fontId="0" fillId="4" borderId="28" xfId="0" applyFill="1" applyBorder="1" applyAlignment="1">
      <alignment horizontal="center" vertical="center" shrinkToFit="1"/>
    </xf>
    <xf numFmtId="0" fontId="0" fillId="4" borderId="2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9" fontId="0" fillId="0" borderId="21" xfId="0" applyNumberFormat="1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40"/>
  <sheetViews>
    <sheetView showGridLines="0" tabSelected="1" topLeftCell="A2" zoomScale="70" zoomScaleNormal="70" workbookViewId="0">
      <selection activeCell="I10" sqref="I10"/>
    </sheetView>
  </sheetViews>
  <sheetFormatPr defaultColWidth="9" defaultRowHeight="16.5" x14ac:dyDescent="0.3"/>
  <cols>
    <col min="1" max="1" width="2.5" style="1" customWidth="1"/>
    <col min="2" max="3" width="4.25" style="1" customWidth="1"/>
    <col min="4" max="4" width="12.375" style="1" customWidth="1"/>
    <col min="5" max="7" width="9" style="1"/>
    <col min="8" max="8" width="11" style="1" bestFit="1" customWidth="1"/>
    <col min="9" max="9" width="9" style="1"/>
    <col min="10" max="10" width="3.625" style="1" customWidth="1"/>
    <col min="11" max="12" width="9" style="1"/>
    <col min="13" max="13" width="14.625" style="1" customWidth="1"/>
    <col min="14" max="15" width="9" style="1"/>
    <col min="16" max="16" width="11" style="1" bestFit="1" customWidth="1"/>
    <col min="17" max="17" width="9" style="1"/>
    <col min="18" max="18" width="3.625" style="1" customWidth="1"/>
    <col min="19" max="23" width="9" style="1"/>
    <col min="24" max="24" width="11" style="1" bestFit="1" customWidth="1"/>
    <col min="25" max="16384" width="9" style="1"/>
  </cols>
  <sheetData>
    <row r="1" spans="2:25" ht="36" customHeight="1" thickBot="1" x14ac:dyDescent="0.35">
      <c r="I1" s="120" t="s">
        <v>0</v>
      </c>
      <c r="J1" s="121"/>
      <c r="K1" s="121"/>
      <c r="L1" s="122" t="s">
        <v>1</v>
      </c>
      <c r="M1" s="122"/>
      <c r="N1" s="122"/>
      <c r="O1" s="96" t="s">
        <v>2</v>
      </c>
      <c r="P1" s="122" t="s">
        <v>3</v>
      </c>
      <c r="Q1" s="122"/>
      <c r="R1" s="140"/>
    </row>
    <row r="2" spans="2:25" ht="17.25" thickBot="1" x14ac:dyDescent="0.35"/>
    <row r="3" spans="2:25" ht="34.5" customHeight="1" x14ac:dyDescent="0.3">
      <c r="B3" s="176" t="s">
        <v>4</v>
      </c>
      <c r="C3" s="177"/>
      <c r="D3" s="178"/>
      <c r="E3" s="67" t="s">
        <v>5</v>
      </c>
      <c r="F3" s="68" t="s">
        <v>6</v>
      </c>
      <c r="G3" s="68" t="s">
        <v>7</v>
      </c>
      <c r="H3" s="69" t="s">
        <v>8</v>
      </c>
      <c r="I3" s="70" t="s">
        <v>9</v>
      </c>
      <c r="K3" s="149" t="s">
        <v>10</v>
      </c>
      <c r="L3" s="150"/>
      <c r="M3" s="151"/>
      <c r="O3" s="144" t="s">
        <v>11</v>
      </c>
      <c r="P3" s="131"/>
      <c r="Q3" s="131" t="s">
        <v>12</v>
      </c>
      <c r="R3" s="131"/>
      <c r="S3" s="142"/>
      <c r="T3" s="179" t="s">
        <v>13</v>
      </c>
      <c r="U3" s="131"/>
      <c r="V3" s="142" t="s">
        <v>14</v>
      </c>
      <c r="W3" s="131" t="s">
        <v>15</v>
      </c>
      <c r="X3" s="131"/>
      <c r="Y3" s="142" t="s">
        <v>16</v>
      </c>
    </row>
    <row r="4" spans="2:25" ht="22.5" customHeight="1" x14ac:dyDescent="0.3">
      <c r="B4" s="166" t="s">
        <v>17</v>
      </c>
      <c r="C4" s="167"/>
      <c r="D4" s="17" t="s">
        <v>18</v>
      </c>
      <c r="E4" s="17"/>
      <c r="F4" s="18"/>
      <c r="G4" s="18"/>
      <c r="H4" s="21"/>
      <c r="I4" s="71"/>
      <c r="K4" s="152" t="s">
        <v>19</v>
      </c>
      <c r="L4" s="153"/>
      <c r="M4" s="154"/>
      <c r="O4" s="183"/>
      <c r="P4" s="180"/>
      <c r="Q4" s="180"/>
      <c r="R4" s="180"/>
      <c r="S4" s="170"/>
      <c r="T4" s="65" t="s">
        <v>20</v>
      </c>
      <c r="U4" s="88" t="s">
        <v>21</v>
      </c>
      <c r="V4" s="170"/>
      <c r="W4" s="88" t="s">
        <v>20</v>
      </c>
      <c r="X4" s="88" t="s">
        <v>21</v>
      </c>
      <c r="Y4" s="170"/>
    </row>
    <row r="5" spans="2:25" ht="20.25" customHeight="1" thickBot="1" x14ac:dyDescent="0.35">
      <c r="B5" s="168" t="s">
        <v>22</v>
      </c>
      <c r="C5" s="169"/>
      <c r="D5" s="44" t="s">
        <v>173</v>
      </c>
      <c r="E5" s="45">
        <v>3</v>
      </c>
      <c r="F5" s="45">
        <v>1</v>
      </c>
      <c r="G5" s="46">
        <f>CEILING(VLOOKUP($D5,틀사이즈기준,8,0)/$M$6,5)</f>
        <v>350</v>
      </c>
      <c r="H5" s="46">
        <f>IF(B5="","",CEILING(G5/F5,5))</f>
        <v>350</v>
      </c>
      <c r="I5" s="47">
        <f>IF(B5="","",G5*E5)</f>
        <v>1050</v>
      </c>
      <c r="K5" s="132" t="s">
        <v>24</v>
      </c>
      <c r="L5" s="133"/>
      <c r="M5" s="60" t="s">
        <v>10</v>
      </c>
      <c r="O5" s="138" t="s">
        <v>25</v>
      </c>
      <c r="P5" s="113"/>
      <c r="Q5" s="82" t="s">
        <v>26</v>
      </c>
      <c r="R5" s="83">
        <v>2</v>
      </c>
      <c r="S5" s="84" t="s">
        <v>27</v>
      </c>
      <c r="T5" s="182">
        <v>200</v>
      </c>
      <c r="U5" s="171"/>
      <c r="V5" s="78">
        <v>24</v>
      </c>
      <c r="W5" s="171"/>
      <c r="X5" s="171"/>
      <c r="Y5" s="78"/>
    </row>
    <row r="6" spans="2:25" ht="20.25" customHeight="1" x14ac:dyDescent="0.3">
      <c r="B6" s="173" t="s">
        <v>28</v>
      </c>
      <c r="C6" s="174"/>
      <c r="D6" s="174"/>
      <c r="E6" s="174"/>
      <c r="F6" s="174"/>
      <c r="G6" s="174"/>
      <c r="H6" s="174"/>
      <c r="I6" s="175"/>
      <c r="K6" s="134" t="s">
        <v>179</v>
      </c>
      <c r="L6" s="135"/>
      <c r="M6" s="61">
        <v>0.92</v>
      </c>
      <c r="O6" s="138" t="s">
        <v>30</v>
      </c>
      <c r="P6" s="113"/>
      <c r="Q6" s="82" t="s">
        <v>26</v>
      </c>
      <c r="R6" s="83">
        <v>2</v>
      </c>
      <c r="S6" s="84" t="s">
        <v>27</v>
      </c>
      <c r="T6" s="89">
        <v>200</v>
      </c>
      <c r="U6" s="87">
        <v>170</v>
      </c>
      <c r="V6" s="78">
        <v>24</v>
      </c>
      <c r="W6" s="87"/>
      <c r="X6" s="87"/>
      <c r="Y6" s="78"/>
    </row>
    <row r="7" spans="2:25" ht="20.25" customHeight="1" thickBot="1" x14ac:dyDescent="0.35">
      <c r="B7" s="158" t="s">
        <v>22</v>
      </c>
      <c r="C7" s="159"/>
      <c r="D7" s="14" t="s">
        <v>180</v>
      </c>
      <c r="E7" s="99">
        <v>8</v>
      </c>
      <c r="F7" s="99">
        <v>1</v>
      </c>
      <c r="G7" s="5">
        <f>IF(B7="","",CEILING(VLOOKUP($D7,틀사이즈기준,8,0)/$M$9,5))</f>
        <v>140</v>
      </c>
      <c r="H7" s="5">
        <f>IF(B7="","",CEILING(G7/F7,5))</f>
        <v>140</v>
      </c>
      <c r="I7" s="81">
        <f>IF(B7="","",G7*E7)</f>
        <v>1120</v>
      </c>
      <c r="K7" s="155" t="s">
        <v>31</v>
      </c>
      <c r="L7" s="156"/>
      <c r="M7" s="157"/>
      <c r="O7" s="139" t="s">
        <v>32</v>
      </c>
      <c r="P7" s="108"/>
      <c r="Q7" s="184"/>
      <c r="R7" s="185"/>
      <c r="S7" s="186"/>
      <c r="T7" s="181"/>
      <c r="U7" s="172"/>
      <c r="V7" s="79"/>
      <c r="W7" s="172"/>
      <c r="X7" s="172"/>
      <c r="Y7" s="79"/>
    </row>
    <row r="8" spans="2:25" ht="20.25" customHeight="1" x14ac:dyDescent="0.3">
      <c r="B8" s="158" t="s">
        <v>22</v>
      </c>
      <c r="C8" s="159"/>
      <c r="D8" s="14" t="s">
        <v>173</v>
      </c>
      <c r="E8" s="99">
        <v>1</v>
      </c>
      <c r="F8" s="99">
        <v>1</v>
      </c>
      <c r="G8" s="5">
        <f>IF(B8="","",CEILING(VLOOKUP($D8,틀사이즈기준,8,0)/$M$9,5))</f>
        <v>350</v>
      </c>
      <c r="H8" s="5">
        <f>IF(B8="","",CEILING(G8/F8,5))</f>
        <v>350</v>
      </c>
      <c r="I8" s="81">
        <f>IF(B8="","",G8*E8)</f>
        <v>350</v>
      </c>
      <c r="K8" s="132" t="s">
        <v>24</v>
      </c>
      <c r="L8" s="133"/>
      <c r="M8" s="60" t="s">
        <v>10</v>
      </c>
    </row>
    <row r="9" spans="2:25" ht="20.25" customHeight="1" thickBot="1" x14ac:dyDescent="0.35">
      <c r="B9" s="123" t="s">
        <v>33</v>
      </c>
      <c r="C9" s="124"/>
      <c r="D9" s="124"/>
      <c r="E9" s="46">
        <f>IF($E$7="","",SUM(E7:E8))</f>
        <v>9</v>
      </c>
      <c r="F9" s="46">
        <f>IF($E$7="","",SUM(F7:F8))</f>
        <v>2</v>
      </c>
      <c r="G9" s="46">
        <f>IF($E$7="","",SUM(G7:G8))</f>
        <v>490</v>
      </c>
      <c r="H9" s="72">
        <f>IF($E$7="","",SUM(H7:H8))</f>
        <v>490</v>
      </c>
      <c r="I9" s="73">
        <f>SUM(I7:I8)</f>
        <v>1470</v>
      </c>
      <c r="K9" s="136" t="s">
        <v>29</v>
      </c>
      <c r="L9" s="137"/>
      <c r="M9" s="61">
        <v>0.92</v>
      </c>
    </row>
    <row r="10" spans="2:25" x14ac:dyDescent="0.3">
      <c r="B10" s="10"/>
      <c r="C10" s="10"/>
      <c r="D10" s="10"/>
      <c r="E10" s="10"/>
      <c r="F10" s="10"/>
      <c r="G10" s="10"/>
      <c r="H10" s="91" t="s">
        <v>34</v>
      </c>
      <c r="I10" s="3">
        <f>G39/I5</f>
        <v>1.082857142857143</v>
      </c>
      <c r="K10" s="125" t="s">
        <v>35</v>
      </c>
      <c r="L10" s="126"/>
      <c r="M10" s="126"/>
      <c r="N10" s="129" t="s">
        <v>36</v>
      </c>
      <c r="O10" s="129"/>
      <c r="P10" s="85" t="s">
        <v>37</v>
      </c>
      <c r="Q10" s="86" t="s">
        <v>38</v>
      </c>
      <c r="S10" s="165" t="s">
        <v>39</v>
      </c>
      <c r="T10" s="165"/>
      <c r="U10" s="165"/>
    </row>
    <row r="11" spans="2:25" ht="17.25" thickBot="1" x14ac:dyDescent="0.35">
      <c r="K11" s="127"/>
      <c r="L11" s="128"/>
      <c r="M11" s="128"/>
      <c r="N11" s="130"/>
      <c r="O11" s="130"/>
      <c r="P11" s="31">
        <f>VLOOKUP($N$10,계산!$B$3:$D$5,2,0)</f>
        <v>0.5</v>
      </c>
      <c r="Q11" s="63">
        <f>VLOOKUP($N$10,계산!$B$3:$D$5,3,0)</f>
        <v>1</v>
      </c>
      <c r="S11" s="165"/>
      <c r="T11" s="165"/>
      <c r="U11" s="165"/>
    </row>
    <row r="12" spans="2:25" ht="17.25" thickBot="1" x14ac:dyDescent="0.35">
      <c r="P12" s="13"/>
      <c r="Q12" s="13"/>
    </row>
    <row r="13" spans="2:25" ht="21.75" customHeight="1" x14ac:dyDescent="0.3">
      <c r="B13" s="149" t="s">
        <v>40</v>
      </c>
      <c r="C13" s="160"/>
      <c r="D13" s="131" t="s">
        <v>17</v>
      </c>
      <c r="E13" s="131" t="s">
        <v>41</v>
      </c>
      <c r="F13" s="131" t="s">
        <v>42</v>
      </c>
      <c r="G13" s="131"/>
      <c r="H13" s="85" t="s">
        <v>31</v>
      </c>
      <c r="I13" s="147" t="s">
        <v>43</v>
      </c>
      <c r="K13" s="144" t="s">
        <v>40</v>
      </c>
      <c r="L13" s="131" t="s">
        <v>17</v>
      </c>
      <c r="M13" s="131" t="s">
        <v>41</v>
      </c>
      <c r="N13" s="131" t="s">
        <v>42</v>
      </c>
      <c r="O13" s="131"/>
      <c r="P13" s="85" t="s">
        <v>31</v>
      </c>
      <c r="Q13" s="147" t="s">
        <v>43</v>
      </c>
      <c r="S13" s="144" t="s">
        <v>40</v>
      </c>
      <c r="T13" s="131" t="s">
        <v>17</v>
      </c>
      <c r="U13" s="131" t="s">
        <v>41</v>
      </c>
      <c r="V13" s="131" t="s">
        <v>42</v>
      </c>
      <c r="W13" s="131"/>
      <c r="X13" s="85" t="s">
        <v>31</v>
      </c>
      <c r="Y13" s="142" t="s">
        <v>43</v>
      </c>
    </row>
    <row r="14" spans="2:25" ht="21.75" customHeight="1" thickBot="1" x14ac:dyDescent="0.35">
      <c r="B14" s="161"/>
      <c r="C14" s="162"/>
      <c r="D14" s="141"/>
      <c r="E14" s="141"/>
      <c r="F14" s="93" t="s">
        <v>44</v>
      </c>
      <c r="G14" s="93" t="s">
        <v>45</v>
      </c>
      <c r="H14" s="93" t="s">
        <v>45</v>
      </c>
      <c r="I14" s="148"/>
      <c r="K14" s="145"/>
      <c r="L14" s="141"/>
      <c r="M14" s="141"/>
      <c r="N14" s="93" t="s">
        <v>44</v>
      </c>
      <c r="O14" s="93" t="s">
        <v>45</v>
      </c>
      <c r="P14" s="93"/>
      <c r="Q14" s="148"/>
      <c r="S14" s="145"/>
      <c r="T14" s="141"/>
      <c r="U14" s="141"/>
      <c r="V14" s="93" t="s">
        <v>44</v>
      </c>
      <c r="W14" s="93" t="s">
        <v>45</v>
      </c>
      <c r="X14" s="93"/>
      <c r="Y14" s="143"/>
    </row>
    <row r="15" spans="2:25" ht="20.100000000000001" customHeight="1" x14ac:dyDescent="0.3">
      <c r="B15" s="163">
        <v>1</v>
      </c>
      <c r="C15" s="164"/>
      <c r="D15" s="111" t="s">
        <v>37</v>
      </c>
      <c r="E15" s="95" t="s">
        <v>174</v>
      </c>
      <c r="F15" s="33">
        <f>IF(E15="","",G15/G$20)</f>
        <v>1</v>
      </c>
      <c r="G15" s="95">
        <v>245</v>
      </c>
      <c r="H15" s="27">
        <f>IF(E15="","",ROUNDUP(G15*$I$39,0))</f>
        <v>344</v>
      </c>
      <c r="I15" s="34"/>
      <c r="K15" s="97">
        <v>1</v>
      </c>
      <c r="L15" s="109" t="str">
        <f>IF($D15="","",$D15)</f>
        <v>밀가루</v>
      </c>
      <c r="M15" s="90" t="str">
        <f>IF($E15="","",$E15)</f>
        <v>중력분</v>
      </c>
      <c r="N15" s="38">
        <f>IF(M15="","",O15/G$20)</f>
        <v>0.5</v>
      </c>
      <c r="O15" s="49">
        <f>IF(OR($N$10="",M15=""),"",G15*$P$11)</f>
        <v>122.5</v>
      </c>
      <c r="P15" s="80">
        <f>IF(M15="","",ROUNDUP(O15*$I$39,0))</f>
        <v>172</v>
      </c>
      <c r="Q15" s="39"/>
      <c r="S15" s="97">
        <v>1</v>
      </c>
      <c r="T15" s="109" t="str">
        <f>IF($D15="","",$D15)</f>
        <v>밀가루</v>
      </c>
      <c r="U15" s="90" t="str">
        <f>IF($E15="","",$E15)</f>
        <v>중력분</v>
      </c>
      <c r="V15" s="38">
        <f>IF(U15="","",W15/G$20)</f>
        <v>0.5</v>
      </c>
      <c r="W15" s="59">
        <f>IF(U15="","",G15-O15)</f>
        <v>122.5</v>
      </c>
      <c r="X15" s="80">
        <f>IF(U15="","",ROUNDUP(W15*$I$39,0))</f>
        <v>172</v>
      </c>
      <c r="Y15" s="39"/>
    </row>
    <row r="16" spans="2:25" ht="20.100000000000001" customHeight="1" x14ac:dyDescent="0.3">
      <c r="B16" s="106">
        <v>2</v>
      </c>
      <c r="C16" s="107"/>
      <c r="D16" s="113"/>
      <c r="E16" s="91"/>
      <c r="F16" s="7" t="str">
        <f t="shared" ref="F16:F19" si="0">IF(E16="","",G16/G$20)</f>
        <v/>
      </c>
      <c r="G16" s="91"/>
      <c r="H16" s="6" t="str">
        <f t="shared" ref="H16:H38" si="1">IF(E16="","",ROUNDUP(G16*$I$39,0))</f>
        <v/>
      </c>
      <c r="I16" s="29"/>
      <c r="K16" s="50">
        <v>2</v>
      </c>
      <c r="L16" s="110"/>
      <c r="M16" s="91" t="str">
        <f t="shared" ref="M16:M25" si="2">IF($E16="","",$E16)</f>
        <v/>
      </c>
      <c r="N16" s="7" t="str">
        <f t="shared" ref="N16:N19" si="3">IF(M16="","",O16/G$20)</f>
        <v/>
      </c>
      <c r="O16" s="11" t="str">
        <f t="shared" ref="O16:O19" si="4">IF(OR($N$10="",M16=""),"",G16*$P$11)</f>
        <v/>
      </c>
      <c r="P16" s="6" t="str">
        <f t="shared" ref="P16:P19" si="5">IF(M16="","",ROUNDUP(O16*$I$39,0))</f>
        <v/>
      </c>
      <c r="Q16" s="29"/>
      <c r="S16" s="50">
        <v>2</v>
      </c>
      <c r="T16" s="110"/>
      <c r="U16" s="91" t="str">
        <f>IF($E16="","",$E16)</f>
        <v/>
      </c>
      <c r="V16" s="7" t="str">
        <f>IF(U16="","",W16/G$20)</f>
        <v/>
      </c>
      <c r="W16" s="12" t="str">
        <f>IF(U16="","",G16-O16)</f>
        <v/>
      </c>
      <c r="X16" s="6" t="str">
        <f t="shared" ref="X16:X19" si="6">IF(U16="","",ROUNDUP(W16*$I$39,0))</f>
        <v/>
      </c>
      <c r="Y16" s="29"/>
    </row>
    <row r="17" spans="2:25" ht="20.100000000000001" customHeight="1" x14ac:dyDescent="0.3">
      <c r="B17" s="106">
        <v>3</v>
      </c>
      <c r="C17" s="107"/>
      <c r="D17" s="113"/>
      <c r="E17" s="91"/>
      <c r="F17" s="7" t="str">
        <f t="shared" si="0"/>
        <v/>
      </c>
      <c r="G17" s="91"/>
      <c r="H17" s="6" t="str">
        <f t="shared" si="1"/>
        <v/>
      </c>
      <c r="I17" s="29"/>
      <c r="K17" s="50">
        <v>3</v>
      </c>
      <c r="L17" s="110"/>
      <c r="M17" s="91" t="str">
        <f t="shared" si="2"/>
        <v/>
      </c>
      <c r="N17" s="7" t="str">
        <f t="shared" si="3"/>
        <v/>
      </c>
      <c r="O17" s="11" t="str">
        <f t="shared" si="4"/>
        <v/>
      </c>
      <c r="P17" s="6" t="str">
        <f t="shared" si="5"/>
        <v/>
      </c>
      <c r="Q17" s="29"/>
      <c r="S17" s="50">
        <v>3</v>
      </c>
      <c r="T17" s="110"/>
      <c r="U17" s="91" t="str">
        <f>IF($E17="","",$E17)</f>
        <v/>
      </c>
      <c r="V17" s="7" t="str">
        <f>IF(U17="","",W17/G$20)</f>
        <v/>
      </c>
      <c r="W17" s="12" t="str">
        <f>IF(U17="","",G17-O17)</f>
        <v/>
      </c>
      <c r="X17" s="6" t="str">
        <f t="shared" si="6"/>
        <v/>
      </c>
      <c r="Y17" s="29"/>
    </row>
    <row r="18" spans="2:25" ht="20.100000000000001" customHeight="1" x14ac:dyDescent="0.3">
      <c r="B18" s="106">
        <v>4</v>
      </c>
      <c r="C18" s="107"/>
      <c r="D18" s="113"/>
      <c r="E18" s="91"/>
      <c r="F18" s="7" t="str">
        <f t="shared" si="0"/>
        <v/>
      </c>
      <c r="G18" s="91"/>
      <c r="H18" s="6" t="str">
        <f t="shared" si="1"/>
        <v/>
      </c>
      <c r="I18" s="29"/>
      <c r="K18" s="50">
        <v>4</v>
      </c>
      <c r="L18" s="110"/>
      <c r="M18" s="91" t="str">
        <f t="shared" si="2"/>
        <v/>
      </c>
      <c r="N18" s="7" t="str">
        <f t="shared" si="3"/>
        <v/>
      </c>
      <c r="O18" s="11" t="str">
        <f t="shared" si="4"/>
        <v/>
      </c>
      <c r="P18" s="6" t="str">
        <f t="shared" si="5"/>
        <v/>
      </c>
      <c r="Q18" s="29"/>
      <c r="S18" s="50">
        <v>4</v>
      </c>
      <c r="T18" s="110"/>
      <c r="U18" s="91" t="str">
        <f>IF($E18="","",$E18)</f>
        <v/>
      </c>
      <c r="V18" s="7" t="str">
        <f>IF(U18="","",W18/G$20)</f>
        <v/>
      </c>
      <c r="W18" s="12" t="str">
        <f>IF(U18="","",G18-O18)</f>
        <v/>
      </c>
      <c r="X18" s="6" t="str">
        <f t="shared" si="6"/>
        <v/>
      </c>
      <c r="Y18" s="29"/>
    </row>
    <row r="19" spans="2:25" ht="20.100000000000001" customHeight="1" thickBot="1" x14ac:dyDescent="0.35">
      <c r="B19" s="106">
        <v>5</v>
      </c>
      <c r="C19" s="107"/>
      <c r="D19" s="113"/>
      <c r="E19" s="91"/>
      <c r="F19" s="7" t="str">
        <f t="shared" si="0"/>
        <v/>
      </c>
      <c r="G19" s="91"/>
      <c r="H19" s="6" t="str">
        <f t="shared" si="1"/>
        <v/>
      </c>
      <c r="I19" s="29"/>
      <c r="K19" s="50">
        <v>5</v>
      </c>
      <c r="L19" s="111"/>
      <c r="M19" s="91" t="str">
        <f t="shared" si="2"/>
        <v/>
      </c>
      <c r="N19" s="7" t="str">
        <f t="shared" si="3"/>
        <v/>
      </c>
      <c r="O19" s="11" t="str">
        <f t="shared" si="4"/>
        <v/>
      </c>
      <c r="P19" s="36" t="str">
        <f t="shared" si="5"/>
        <v/>
      </c>
      <c r="Q19" s="29"/>
      <c r="S19" s="50">
        <v>5</v>
      </c>
      <c r="T19" s="111"/>
      <c r="U19" s="91" t="str">
        <f>IF($E19="","",$E19)</f>
        <v/>
      </c>
      <c r="V19" s="7" t="str">
        <f>IF(U19="","",W19/G$20)</f>
        <v/>
      </c>
      <c r="W19" s="12" t="str">
        <f>IF(U19="","",G19-O19)</f>
        <v/>
      </c>
      <c r="X19" s="36" t="str">
        <f t="shared" si="6"/>
        <v/>
      </c>
      <c r="Y19" s="29"/>
    </row>
    <row r="20" spans="2:25" ht="20.100000000000001" customHeight="1" thickBot="1" x14ac:dyDescent="0.35">
      <c r="B20" s="102">
        <v>6</v>
      </c>
      <c r="C20" s="103"/>
      <c r="D20" s="108" t="s">
        <v>48</v>
      </c>
      <c r="E20" s="108"/>
      <c r="F20" s="31">
        <f>SUM(F15:F19)</f>
        <v>1</v>
      </c>
      <c r="G20" s="36">
        <f>SUM(G15:G19)</f>
        <v>245</v>
      </c>
      <c r="H20" s="36">
        <f>SUM(H15:H19)</f>
        <v>344</v>
      </c>
      <c r="I20" s="32"/>
      <c r="K20" s="98">
        <v>6</v>
      </c>
      <c r="L20" s="108" t="s">
        <v>48</v>
      </c>
      <c r="M20" s="108"/>
      <c r="N20" s="31">
        <f>SUM(N15:N19)</f>
        <v>0.5</v>
      </c>
      <c r="O20" s="52">
        <f>SUM(O15:O19)</f>
        <v>122.5</v>
      </c>
      <c r="P20" s="75">
        <f>SUM(P15:P19)</f>
        <v>172</v>
      </c>
      <c r="Q20" s="32"/>
      <c r="S20" s="98">
        <v>6</v>
      </c>
      <c r="T20" s="108" t="s">
        <v>48</v>
      </c>
      <c r="U20" s="108"/>
      <c r="V20" s="31">
        <f>SUM(V15:V19)</f>
        <v>0.5</v>
      </c>
      <c r="W20" s="36">
        <f>SUM(W15:W19)</f>
        <v>122.5</v>
      </c>
      <c r="X20" s="74">
        <f>SUM(X15:X19)</f>
        <v>172</v>
      </c>
      <c r="Y20" s="76"/>
    </row>
    <row r="21" spans="2:25" ht="20.100000000000001" customHeight="1" x14ac:dyDescent="0.3">
      <c r="B21" s="104">
        <v>7</v>
      </c>
      <c r="C21" s="105"/>
      <c r="D21" s="112" t="s">
        <v>38</v>
      </c>
      <c r="E21" s="90" t="s">
        <v>70</v>
      </c>
      <c r="F21" s="38">
        <f>IF(E21="","",G21/G$20)</f>
        <v>0.16326530612244897</v>
      </c>
      <c r="G21" s="90">
        <v>40</v>
      </c>
      <c r="H21" s="80">
        <f t="shared" si="1"/>
        <v>57</v>
      </c>
      <c r="I21" s="39"/>
      <c r="K21" s="97">
        <v>7</v>
      </c>
      <c r="L21" s="109" t="str">
        <f>IF($D21="","",$D21)</f>
        <v>수분</v>
      </c>
      <c r="M21" s="90" t="str">
        <f t="shared" si="2"/>
        <v>우유</v>
      </c>
      <c r="N21" s="38">
        <f>IF(M21="","",O21/G$20)</f>
        <v>0.5</v>
      </c>
      <c r="O21" s="49">
        <f>IF(OR($N$10="",M21=""),"",$O$20/$G$26*G21*$Q$11)</f>
        <v>122.5</v>
      </c>
      <c r="P21" s="80">
        <f>IF(M21="","",ROUNDUP(O21*$I$39,0))</f>
        <v>172</v>
      </c>
      <c r="Q21" s="39"/>
      <c r="S21" s="97">
        <v>7</v>
      </c>
      <c r="T21" s="109" t="str">
        <f>IF($D21="","",$D21)</f>
        <v>수분</v>
      </c>
      <c r="U21" s="90" t="str">
        <f>IF($E21="","",$E21)</f>
        <v>우유</v>
      </c>
      <c r="V21" s="38">
        <f>IF(U21="","",W21/G$20)</f>
        <v>-0.33673469387755101</v>
      </c>
      <c r="W21" s="59">
        <f>IF(U21="","",G21-O21)</f>
        <v>-82.5</v>
      </c>
      <c r="X21" s="80">
        <f>IF(U21="","",ROUNDUP(W21*$I$39,0))</f>
        <v>-116</v>
      </c>
      <c r="Y21" s="39"/>
    </row>
    <row r="22" spans="2:25" ht="20.100000000000001" customHeight="1" x14ac:dyDescent="0.3">
      <c r="B22" s="106">
        <v>8</v>
      </c>
      <c r="C22" s="107"/>
      <c r="D22" s="113"/>
      <c r="E22" s="91"/>
      <c r="F22" s="7" t="str">
        <f t="shared" ref="F22:F25" si="7">IF(E22="","",G22/G$20)</f>
        <v/>
      </c>
      <c r="G22" s="91"/>
      <c r="H22" s="6" t="str">
        <f t="shared" si="1"/>
        <v/>
      </c>
      <c r="I22" s="29"/>
      <c r="K22" s="50">
        <v>8</v>
      </c>
      <c r="L22" s="110"/>
      <c r="M22" s="91" t="str">
        <f t="shared" si="2"/>
        <v/>
      </c>
      <c r="N22" s="7" t="str">
        <f t="shared" ref="N22:N25" si="8">IF(M22="","",O22/G$20)</f>
        <v/>
      </c>
      <c r="O22" s="11" t="str">
        <f>IF(OR($N$10="",M22=""),"",$O$20/$G$26*G22*$Q$11)</f>
        <v/>
      </c>
      <c r="P22" s="6" t="str">
        <f t="shared" ref="P22:P25" si="9">IF(M22="","",ROUNDUP(O22*$I$39,0))</f>
        <v/>
      </c>
      <c r="Q22" s="29"/>
      <c r="S22" s="50">
        <v>8</v>
      </c>
      <c r="T22" s="110"/>
      <c r="U22" s="91" t="str">
        <f>IF($E22="","",$E22)</f>
        <v/>
      </c>
      <c r="V22" s="7" t="str">
        <f>IF(U22="","",W22/G$20)</f>
        <v/>
      </c>
      <c r="W22" s="12" t="str">
        <f>IF(U22="","",G22-O22)</f>
        <v/>
      </c>
      <c r="X22" s="6" t="str">
        <f t="shared" ref="X22:X25" si="10">IF(U22="","",ROUNDUP(W22*$I$39,0))</f>
        <v/>
      </c>
      <c r="Y22" s="29"/>
    </row>
    <row r="23" spans="2:25" ht="20.100000000000001" customHeight="1" x14ac:dyDescent="0.3">
      <c r="B23" s="106">
        <v>9</v>
      </c>
      <c r="C23" s="107"/>
      <c r="D23" s="113"/>
      <c r="E23" s="91"/>
      <c r="F23" s="7" t="str">
        <f t="shared" si="7"/>
        <v/>
      </c>
      <c r="G23" s="91"/>
      <c r="H23" s="6" t="str">
        <f t="shared" si="1"/>
        <v/>
      </c>
      <c r="I23" s="29"/>
      <c r="K23" s="50">
        <v>9</v>
      </c>
      <c r="L23" s="110"/>
      <c r="M23" s="91" t="str">
        <f t="shared" si="2"/>
        <v/>
      </c>
      <c r="N23" s="7" t="str">
        <f t="shared" si="8"/>
        <v/>
      </c>
      <c r="O23" s="11" t="str">
        <f>IF(OR($N$10="",M23=""),"",$O$20/$G$26*G23*$Q$11)</f>
        <v/>
      </c>
      <c r="P23" s="6" t="str">
        <f t="shared" si="9"/>
        <v/>
      </c>
      <c r="Q23" s="29"/>
      <c r="S23" s="50">
        <v>9</v>
      </c>
      <c r="T23" s="110"/>
      <c r="U23" s="91" t="str">
        <f>IF($E23="","",$E23)</f>
        <v/>
      </c>
      <c r="V23" s="7" t="str">
        <f>IF(U23="","",W23/G$20)</f>
        <v/>
      </c>
      <c r="W23" s="12" t="str">
        <f>IF(U23="","",G23-O23)</f>
        <v/>
      </c>
      <c r="X23" s="6" t="str">
        <f t="shared" si="10"/>
        <v/>
      </c>
      <c r="Y23" s="29"/>
    </row>
    <row r="24" spans="2:25" ht="20.100000000000001" customHeight="1" x14ac:dyDescent="0.3">
      <c r="B24" s="106">
        <v>10</v>
      </c>
      <c r="C24" s="107"/>
      <c r="D24" s="113"/>
      <c r="E24" s="91"/>
      <c r="F24" s="7" t="str">
        <f t="shared" si="7"/>
        <v/>
      </c>
      <c r="G24" s="91"/>
      <c r="H24" s="6" t="str">
        <f t="shared" si="1"/>
        <v/>
      </c>
      <c r="I24" s="29"/>
      <c r="K24" s="50">
        <v>10</v>
      </c>
      <c r="L24" s="110"/>
      <c r="M24" s="91" t="str">
        <f t="shared" si="2"/>
        <v/>
      </c>
      <c r="N24" s="7" t="str">
        <f t="shared" si="8"/>
        <v/>
      </c>
      <c r="O24" s="11" t="str">
        <f>IF(OR($N$10="",M24=""),"",$O$20/$G$26*G24*$Q$11)</f>
        <v/>
      </c>
      <c r="P24" s="6" t="str">
        <f t="shared" si="9"/>
        <v/>
      </c>
      <c r="Q24" s="29"/>
      <c r="S24" s="50">
        <v>10</v>
      </c>
      <c r="T24" s="110"/>
      <c r="U24" s="91" t="str">
        <f>IF($E24="","",$E24)</f>
        <v/>
      </c>
      <c r="V24" s="7" t="str">
        <f>IF(U24="","",W24/G$20)</f>
        <v/>
      </c>
      <c r="W24" s="12" t="str">
        <f>IF(U24="","",G24-O24)</f>
        <v/>
      </c>
      <c r="X24" s="6" t="str">
        <f t="shared" si="10"/>
        <v/>
      </c>
      <c r="Y24" s="29"/>
    </row>
    <row r="25" spans="2:25" ht="20.100000000000001" customHeight="1" thickBot="1" x14ac:dyDescent="0.35">
      <c r="B25" s="106">
        <v>11</v>
      </c>
      <c r="C25" s="107"/>
      <c r="D25" s="113"/>
      <c r="E25" s="91"/>
      <c r="F25" s="7" t="str">
        <f t="shared" si="7"/>
        <v/>
      </c>
      <c r="G25" s="91"/>
      <c r="H25" s="6" t="str">
        <f t="shared" si="1"/>
        <v/>
      </c>
      <c r="I25" s="29"/>
      <c r="K25" s="50">
        <v>11</v>
      </c>
      <c r="L25" s="111"/>
      <c r="M25" s="91" t="str">
        <f t="shared" si="2"/>
        <v/>
      </c>
      <c r="N25" s="7" t="str">
        <f t="shared" si="8"/>
        <v/>
      </c>
      <c r="O25" s="11" t="str">
        <f>IF(OR($N$10="",M25=""),"",$O$20/$G$26*G25*$Q$11)</f>
        <v/>
      </c>
      <c r="P25" s="36" t="str">
        <f t="shared" si="9"/>
        <v/>
      </c>
      <c r="Q25" s="29"/>
      <c r="S25" s="50">
        <v>11</v>
      </c>
      <c r="T25" s="111"/>
      <c r="U25" s="91" t="str">
        <f>IF($E25="","",$E25)</f>
        <v/>
      </c>
      <c r="V25" s="7" t="str">
        <f>IF(U25="","",W25/G$20)</f>
        <v/>
      </c>
      <c r="W25" s="12" t="str">
        <f>IF(U25="","",G25-O25)</f>
        <v/>
      </c>
      <c r="X25" s="36" t="str">
        <f t="shared" si="10"/>
        <v/>
      </c>
      <c r="Y25" s="29"/>
    </row>
    <row r="26" spans="2:25" ht="20.100000000000001" customHeight="1" thickBot="1" x14ac:dyDescent="0.35">
      <c r="B26" s="102">
        <v>12</v>
      </c>
      <c r="C26" s="103"/>
      <c r="D26" s="108" t="s">
        <v>50</v>
      </c>
      <c r="E26" s="108"/>
      <c r="F26" s="31">
        <f>SUM(F21:F25)</f>
        <v>0.16326530612244897</v>
      </c>
      <c r="G26" s="36">
        <f>SUM(G21:G25)</f>
        <v>40</v>
      </c>
      <c r="H26" s="36">
        <f>SUM(H21:H25)</f>
        <v>57</v>
      </c>
      <c r="I26" s="32"/>
      <c r="K26" s="98">
        <v>12</v>
      </c>
      <c r="L26" s="108" t="s">
        <v>50</v>
      </c>
      <c r="M26" s="108"/>
      <c r="N26" s="31">
        <f>SUM(N21:N25)</f>
        <v>0.5</v>
      </c>
      <c r="O26" s="36">
        <f>SUM(O21:O25)</f>
        <v>122.5</v>
      </c>
      <c r="P26" s="74">
        <f>SUM(P21:P25)</f>
        <v>172</v>
      </c>
      <c r="Q26" s="32"/>
      <c r="S26" s="98">
        <v>12</v>
      </c>
      <c r="T26" s="108" t="s">
        <v>50</v>
      </c>
      <c r="U26" s="108"/>
      <c r="V26" s="31">
        <f>SUM(V21:V25)</f>
        <v>-0.33673469387755101</v>
      </c>
      <c r="W26" s="36">
        <f>SUM(W21:W25)</f>
        <v>-82.5</v>
      </c>
      <c r="X26" s="74">
        <f>SUM(X21:X25)</f>
        <v>-116</v>
      </c>
      <c r="Y26" s="32"/>
    </row>
    <row r="27" spans="2:25" ht="20.100000000000001" customHeight="1" thickBot="1" x14ac:dyDescent="0.35">
      <c r="B27" s="104">
        <v>13</v>
      </c>
      <c r="C27" s="105"/>
      <c r="D27" s="112" t="s">
        <v>51</v>
      </c>
      <c r="E27" s="90" t="s">
        <v>52</v>
      </c>
      <c r="F27" s="38">
        <f>IF(E27="","",G27/G$20)</f>
        <v>1</v>
      </c>
      <c r="G27" s="90">
        <v>245</v>
      </c>
      <c r="H27" s="80">
        <f t="shared" si="1"/>
        <v>344</v>
      </c>
      <c r="I27" s="39" t="s">
        <v>53</v>
      </c>
      <c r="K27" s="53">
        <v>13</v>
      </c>
      <c r="L27" s="94" t="s">
        <v>54</v>
      </c>
      <c r="M27" s="94" t="s">
        <v>55</v>
      </c>
      <c r="N27" s="55">
        <f>IF(M27="","",O27/G$20)</f>
        <v>4.0816326530612249E-3</v>
      </c>
      <c r="O27" s="56">
        <f>IF(G32="","",1)</f>
        <v>1</v>
      </c>
      <c r="P27" s="80">
        <f>IF(M27="","",ROUNDUP(O27*$I$39,0))</f>
        <v>2</v>
      </c>
      <c r="Q27" s="57"/>
      <c r="S27" s="97">
        <v>13</v>
      </c>
      <c r="T27" s="112" t="str">
        <f>IF($D27="","",$D27)</f>
        <v>기타수분</v>
      </c>
      <c r="U27" s="90" t="str">
        <f>IF($E27="","",$E27)</f>
        <v>버터</v>
      </c>
      <c r="V27" s="38">
        <f>IF(U27="","",W27/G$20)</f>
        <v>1</v>
      </c>
      <c r="W27" s="90">
        <f>IF(G27="","",G27)</f>
        <v>245</v>
      </c>
      <c r="X27" s="80">
        <f>IF(U27="","",ROUNDUP(W27*$I$39,0))</f>
        <v>344</v>
      </c>
      <c r="Y27" s="39"/>
    </row>
    <row r="28" spans="2:25" ht="20.100000000000001" customHeight="1" thickBot="1" x14ac:dyDescent="0.35">
      <c r="B28" s="106">
        <v>14</v>
      </c>
      <c r="C28" s="107"/>
      <c r="D28" s="113"/>
      <c r="E28" s="91" t="s">
        <v>175</v>
      </c>
      <c r="F28" s="7">
        <f>IF(E28="","",G28/G$20)</f>
        <v>1</v>
      </c>
      <c r="G28" s="91">
        <v>245</v>
      </c>
      <c r="H28" s="6">
        <f t="shared" si="1"/>
        <v>344</v>
      </c>
      <c r="I28" s="29" t="s">
        <v>56</v>
      </c>
      <c r="K28" s="53"/>
      <c r="L28" s="146" t="s">
        <v>57</v>
      </c>
      <c r="M28" s="146"/>
      <c r="N28" s="58">
        <f>N26/N20</f>
        <v>1</v>
      </c>
      <c r="O28" s="40"/>
      <c r="P28" s="94"/>
      <c r="Q28" s="57"/>
      <c r="S28" s="50">
        <v>14</v>
      </c>
      <c r="T28" s="113"/>
      <c r="U28" s="91" t="str">
        <f>IF($E28="","",$E28)</f>
        <v>달걀</v>
      </c>
      <c r="V28" s="7">
        <f>IF(U28="","",W28/G$20)</f>
        <v>1</v>
      </c>
      <c r="W28" s="91">
        <f>IF(G28="","",G28)</f>
        <v>245</v>
      </c>
      <c r="X28" s="36">
        <f>IF(U28="","",ROUNDUP(W28*$I$39,0))</f>
        <v>344</v>
      </c>
      <c r="Y28" s="29"/>
    </row>
    <row r="29" spans="2:25" ht="20.100000000000001" customHeight="1" thickBot="1" x14ac:dyDescent="0.35">
      <c r="B29" s="102">
        <v>15</v>
      </c>
      <c r="C29" s="103"/>
      <c r="D29" s="108" t="s">
        <v>50</v>
      </c>
      <c r="E29" s="108"/>
      <c r="F29" s="31" t="str">
        <f t="shared" ref="F29" si="11">IF(E29="","",G29/SUM($G$15:$G$20))</f>
        <v/>
      </c>
      <c r="G29" s="36">
        <f>SUM(G27:G28)</f>
        <v>490</v>
      </c>
      <c r="H29" s="36">
        <v>25</v>
      </c>
      <c r="I29" s="32"/>
      <c r="S29" s="98">
        <v>15</v>
      </c>
      <c r="T29" s="108" t="s">
        <v>50</v>
      </c>
      <c r="U29" s="108"/>
      <c r="V29" s="31">
        <f>SUM(V27:V28)</f>
        <v>2</v>
      </c>
      <c r="W29" s="36">
        <f>SUM(W27:W28)</f>
        <v>490</v>
      </c>
      <c r="X29" s="74">
        <f>SUM(X27:X28)</f>
        <v>688</v>
      </c>
      <c r="Y29" s="32"/>
    </row>
    <row r="30" spans="2:25" ht="20.100000000000001" customHeight="1" x14ac:dyDescent="0.3">
      <c r="B30" s="104">
        <v>16</v>
      </c>
      <c r="C30" s="105"/>
      <c r="D30" s="112" t="s">
        <v>54</v>
      </c>
      <c r="E30" s="90" t="s">
        <v>60</v>
      </c>
      <c r="F30" s="38">
        <f>IF(E30="","",G30/G$20)</f>
        <v>0.82448979591836735</v>
      </c>
      <c r="G30" s="90">
        <v>202</v>
      </c>
      <c r="H30" s="80">
        <f t="shared" si="1"/>
        <v>284</v>
      </c>
      <c r="I30" s="39"/>
      <c r="K30" s="117" t="s">
        <v>59</v>
      </c>
      <c r="L30" s="118"/>
      <c r="M30" s="118"/>
      <c r="N30" s="118"/>
      <c r="O30" s="118"/>
      <c r="P30" s="118"/>
      <c r="Q30" s="119"/>
      <c r="S30" s="97">
        <v>16</v>
      </c>
      <c r="T30" s="112" t="str">
        <f>IF($D30="","",$D30)</f>
        <v>기타</v>
      </c>
      <c r="U30" s="90" t="str">
        <f t="shared" ref="U30:U38" si="12">IF($E30="","",$E30)</f>
        <v>설탕</v>
      </c>
      <c r="V30" s="38">
        <f t="shared" ref="V30:V38" si="13">IF(U30="","",W30/G$20)</f>
        <v>0.82448979591836735</v>
      </c>
      <c r="W30" s="90">
        <f>IF(G30="","",G30)</f>
        <v>202</v>
      </c>
      <c r="X30" s="80">
        <f>IF(U30="","",ROUNDUP(W30*$I$39,0))</f>
        <v>284</v>
      </c>
      <c r="Y30" s="39"/>
    </row>
    <row r="31" spans="2:25" ht="20.100000000000001" customHeight="1" x14ac:dyDescent="0.3">
      <c r="B31" s="106">
        <v>17</v>
      </c>
      <c r="C31" s="107"/>
      <c r="D31" s="113"/>
      <c r="E31" s="91" t="s">
        <v>176</v>
      </c>
      <c r="F31" s="7">
        <f t="shared" ref="F31:F38" si="14">IF(E31="","",G31/G$20)</f>
        <v>0.20408163265306123</v>
      </c>
      <c r="G31" s="91">
        <v>50</v>
      </c>
      <c r="H31" s="6">
        <f t="shared" si="1"/>
        <v>71</v>
      </c>
      <c r="I31" s="29"/>
      <c r="K31" s="114"/>
      <c r="L31" s="115"/>
      <c r="M31" s="115"/>
      <c r="N31" s="115"/>
      <c r="O31" s="115"/>
      <c r="P31" s="115"/>
      <c r="Q31" s="116"/>
      <c r="S31" s="50">
        <v>17</v>
      </c>
      <c r="T31" s="113"/>
      <c r="U31" s="91" t="str">
        <f t="shared" si="12"/>
        <v>호두</v>
      </c>
      <c r="V31" s="7">
        <f t="shared" si="13"/>
        <v>0.20408163265306123</v>
      </c>
      <c r="W31" s="91">
        <f>IF(G31="","",G31)</f>
        <v>50</v>
      </c>
      <c r="X31" s="6">
        <f t="shared" ref="X31:X38" si="15">IF(U31="","",ROUNDUP(W31*$I$39,0))</f>
        <v>71</v>
      </c>
      <c r="Y31" s="29"/>
    </row>
    <row r="32" spans="2:25" ht="20.100000000000001" customHeight="1" x14ac:dyDescent="0.3">
      <c r="B32" s="106">
        <v>18</v>
      </c>
      <c r="C32" s="107"/>
      <c r="D32" s="113"/>
      <c r="E32" s="91" t="s">
        <v>177</v>
      </c>
      <c r="F32" s="7">
        <f t="shared" si="14"/>
        <v>0.40816326530612246</v>
      </c>
      <c r="G32" s="91">
        <v>100</v>
      </c>
      <c r="H32" s="6">
        <f t="shared" si="1"/>
        <v>141</v>
      </c>
      <c r="I32" s="29"/>
      <c r="K32" s="114"/>
      <c r="L32" s="115"/>
      <c r="M32" s="115"/>
      <c r="N32" s="115"/>
      <c r="O32" s="115"/>
      <c r="P32" s="115"/>
      <c r="Q32" s="116"/>
      <c r="S32" s="50">
        <v>18</v>
      </c>
      <c r="T32" s="113"/>
      <c r="U32" s="91" t="str">
        <f t="shared" si="12"/>
        <v>무화과</v>
      </c>
      <c r="V32" s="7">
        <f t="shared" si="13"/>
        <v>0.40408163265306124</v>
      </c>
      <c r="W32" s="91">
        <f>IF(G32="","",IF(E32="생이스트",G32/2-O27,G32-O27))</f>
        <v>99</v>
      </c>
      <c r="X32" s="6">
        <f t="shared" si="15"/>
        <v>139</v>
      </c>
      <c r="Y32" s="29"/>
    </row>
    <row r="33" spans="2:25" ht="20.100000000000001" customHeight="1" x14ac:dyDescent="0.3">
      <c r="B33" s="106">
        <v>19</v>
      </c>
      <c r="C33" s="107"/>
      <c r="D33" s="113"/>
      <c r="E33" s="91" t="s">
        <v>178</v>
      </c>
      <c r="F33" s="7">
        <f t="shared" si="14"/>
        <v>4.0816326530612242E-2</v>
      </c>
      <c r="G33" s="91">
        <v>10</v>
      </c>
      <c r="H33" s="6">
        <f t="shared" si="1"/>
        <v>15</v>
      </c>
      <c r="I33" s="29"/>
      <c r="K33" s="114"/>
      <c r="L33" s="115"/>
      <c r="M33" s="115"/>
      <c r="N33" s="115"/>
      <c r="O33" s="115"/>
      <c r="P33" s="115"/>
      <c r="Q33" s="116"/>
      <c r="S33" s="50">
        <v>19</v>
      </c>
      <c r="T33" s="113"/>
      <c r="U33" s="91" t="str">
        <f t="shared" si="12"/>
        <v>커피</v>
      </c>
      <c r="V33" s="7">
        <f t="shared" si="13"/>
        <v>4.0816326530612242E-2</v>
      </c>
      <c r="W33" s="91">
        <f t="shared" ref="W33:W38" si="16">IF(G33="","",G33)</f>
        <v>10</v>
      </c>
      <c r="X33" s="6">
        <f t="shared" si="15"/>
        <v>15</v>
      </c>
      <c r="Y33" s="29"/>
    </row>
    <row r="34" spans="2:25" ht="20.100000000000001" customHeight="1" x14ac:dyDescent="0.3">
      <c r="B34" s="106">
        <v>20</v>
      </c>
      <c r="C34" s="107"/>
      <c r="D34" s="113"/>
      <c r="E34" s="91"/>
      <c r="F34" s="7" t="str">
        <f t="shared" si="14"/>
        <v/>
      </c>
      <c r="G34" s="91"/>
      <c r="H34" s="6" t="str">
        <f t="shared" si="1"/>
        <v/>
      </c>
      <c r="I34" s="29"/>
      <c r="K34" s="114"/>
      <c r="L34" s="115"/>
      <c r="M34" s="115"/>
      <c r="N34" s="115"/>
      <c r="O34" s="115"/>
      <c r="P34" s="115"/>
      <c r="Q34" s="116"/>
      <c r="S34" s="50">
        <v>20</v>
      </c>
      <c r="T34" s="113"/>
      <c r="U34" s="91" t="str">
        <f t="shared" si="12"/>
        <v/>
      </c>
      <c r="V34" s="7" t="str">
        <f t="shared" si="13"/>
        <v/>
      </c>
      <c r="W34" s="91" t="str">
        <f t="shared" si="16"/>
        <v/>
      </c>
      <c r="X34" s="6" t="str">
        <f t="shared" si="15"/>
        <v/>
      </c>
      <c r="Y34" s="29"/>
    </row>
    <row r="35" spans="2:25" ht="20.100000000000001" customHeight="1" x14ac:dyDescent="0.3">
      <c r="B35" s="106">
        <v>21</v>
      </c>
      <c r="C35" s="107"/>
      <c r="D35" s="113"/>
      <c r="E35" s="91"/>
      <c r="F35" s="7" t="str">
        <f t="shared" si="14"/>
        <v/>
      </c>
      <c r="G35" s="91"/>
      <c r="H35" s="6" t="str">
        <f t="shared" si="1"/>
        <v/>
      </c>
      <c r="I35" s="29"/>
      <c r="K35" s="114"/>
      <c r="L35" s="115"/>
      <c r="M35" s="115"/>
      <c r="N35" s="115"/>
      <c r="O35" s="115"/>
      <c r="P35" s="115"/>
      <c r="Q35" s="116"/>
      <c r="S35" s="50">
        <v>21</v>
      </c>
      <c r="T35" s="113"/>
      <c r="U35" s="91" t="str">
        <f t="shared" si="12"/>
        <v/>
      </c>
      <c r="V35" s="7" t="str">
        <f t="shared" si="13"/>
        <v/>
      </c>
      <c r="W35" s="91" t="str">
        <f t="shared" si="16"/>
        <v/>
      </c>
      <c r="X35" s="6" t="str">
        <f t="shared" si="15"/>
        <v/>
      </c>
      <c r="Y35" s="29"/>
    </row>
    <row r="36" spans="2:25" ht="20.100000000000001" customHeight="1" x14ac:dyDescent="0.3">
      <c r="B36" s="106">
        <v>22</v>
      </c>
      <c r="C36" s="107"/>
      <c r="D36" s="113"/>
      <c r="E36" s="91"/>
      <c r="F36" s="7" t="str">
        <f t="shared" si="14"/>
        <v/>
      </c>
      <c r="G36" s="91"/>
      <c r="H36" s="6" t="str">
        <f t="shared" si="1"/>
        <v/>
      </c>
      <c r="I36" s="29"/>
      <c r="K36" s="114"/>
      <c r="L36" s="115"/>
      <c r="M36" s="115"/>
      <c r="N36" s="115"/>
      <c r="O36" s="115"/>
      <c r="P36" s="115"/>
      <c r="Q36" s="116"/>
      <c r="S36" s="50">
        <v>22</v>
      </c>
      <c r="T36" s="113"/>
      <c r="U36" s="91" t="str">
        <f t="shared" si="12"/>
        <v/>
      </c>
      <c r="V36" s="7" t="str">
        <f t="shared" si="13"/>
        <v/>
      </c>
      <c r="W36" s="91" t="str">
        <f t="shared" si="16"/>
        <v/>
      </c>
      <c r="X36" s="6" t="str">
        <f t="shared" si="15"/>
        <v/>
      </c>
      <c r="Y36" s="29"/>
    </row>
    <row r="37" spans="2:25" ht="20.100000000000001" customHeight="1" x14ac:dyDescent="0.3">
      <c r="B37" s="106">
        <v>23</v>
      </c>
      <c r="C37" s="107"/>
      <c r="D37" s="113"/>
      <c r="E37" s="91"/>
      <c r="F37" s="7" t="str">
        <f t="shared" si="14"/>
        <v/>
      </c>
      <c r="G37" s="91"/>
      <c r="H37" s="6" t="str">
        <f t="shared" si="1"/>
        <v/>
      </c>
      <c r="I37" s="29"/>
      <c r="K37" s="114"/>
      <c r="L37" s="115"/>
      <c r="M37" s="115"/>
      <c r="N37" s="115"/>
      <c r="O37" s="115"/>
      <c r="P37" s="115"/>
      <c r="Q37" s="116"/>
      <c r="S37" s="50">
        <v>23</v>
      </c>
      <c r="T37" s="113"/>
      <c r="U37" s="91" t="str">
        <f t="shared" si="12"/>
        <v/>
      </c>
      <c r="V37" s="7" t="str">
        <f t="shared" si="13"/>
        <v/>
      </c>
      <c r="W37" s="91" t="str">
        <f t="shared" si="16"/>
        <v/>
      </c>
      <c r="X37" s="6" t="str">
        <f t="shared" si="15"/>
        <v/>
      </c>
      <c r="Y37" s="29"/>
    </row>
    <row r="38" spans="2:25" ht="20.100000000000001" customHeight="1" thickBot="1" x14ac:dyDescent="0.35">
      <c r="B38" s="102">
        <v>24</v>
      </c>
      <c r="C38" s="103"/>
      <c r="D38" s="108"/>
      <c r="E38" s="92"/>
      <c r="F38" s="31" t="str">
        <f t="shared" si="14"/>
        <v/>
      </c>
      <c r="G38" s="92"/>
      <c r="H38" s="36" t="str">
        <f t="shared" si="1"/>
        <v/>
      </c>
      <c r="I38" s="32"/>
      <c r="K38" s="114"/>
      <c r="L38" s="115"/>
      <c r="M38" s="115"/>
      <c r="N38" s="115"/>
      <c r="O38" s="115"/>
      <c r="P38" s="115"/>
      <c r="Q38" s="116"/>
      <c r="S38" s="98">
        <v>24</v>
      </c>
      <c r="T38" s="108"/>
      <c r="U38" s="92" t="str">
        <f t="shared" si="12"/>
        <v/>
      </c>
      <c r="V38" s="31" t="str">
        <f t="shared" si="13"/>
        <v/>
      </c>
      <c r="W38" s="92" t="str">
        <f t="shared" si="16"/>
        <v/>
      </c>
      <c r="X38" s="36" t="str">
        <f t="shared" si="15"/>
        <v/>
      </c>
      <c r="Y38" s="32"/>
    </row>
    <row r="39" spans="2:25" ht="30" customHeight="1" thickBot="1" x14ac:dyDescent="0.35">
      <c r="B39" s="100" t="s">
        <v>63</v>
      </c>
      <c r="C39" s="101"/>
      <c r="D39" s="101"/>
      <c r="E39" s="101"/>
      <c r="F39" s="40"/>
      <c r="G39" s="40">
        <f>SUM(G20,G26,G29,G30:G38)</f>
        <v>1137</v>
      </c>
      <c r="H39" s="41">
        <f>CEILING(I9*I10,5)</f>
        <v>1595</v>
      </c>
      <c r="I39" s="77">
        <f>H39/G39</f>
        <v>1.4028144239226032</v>
      </c>
      <c r="K39" s="114"/>
      <c r="L39" s="115"/>
      <c r="M39" s="115"/>
      <c r="N39" s="115"/>
      <c r="O39" s="115"/>
      <c r="P39" s="115"/>
      <c r="Q39" s="116"/>
      <c r="S39" s="100" t="s">
        <v>63</v>
      </c>
      <c r="T39" s="101"/>
      <c r="U39" s="101"/>
      <c r="V39" s="40"/>
      <c r="W39" s="40">
        <f>SUM(W20,W26,W29,W30:W38)</f>
        <v>891</v>
      </c>
      <c r="X39" s="40">
        <f>SUM(X20,X26,X29,X30:X38)</f>
        <v>1253</v>
      </c>
      <c r="Y39" s="42"/>
    </row>
    <row r="40" spans="2:25" x14ac:dyDescent="0.3">
      <c r="G40" s="25"/>
      <c r="H40" s="26"/>
    </row>
  </sheetData>
  <mergeCells count="104">
    <mergeCell ref="S39:U39"/>
    <mergeCell ref="B37:C37"/>
    <mergeCell ref="K37:Q37"/>
    <mergeCell ref="B38:C38"/>
    <mergeCell ref="K38:Q38"/>
    <mergeCell ref="B39:E39"/>
    <mergeCell ref="K39:Q39"/>
    <mergeCell ref="B34:C34"/>
    <mergeCell ref="K34:Q34"/>
    <mergeCell ref="B35:C35"/>
    <mergeCell ref="K35:Q35"/>
    <mergeCell ref="B36:C36"/>
    <mergeCell ref="K36:Q36"/>
    <mergeCell ref="B30:C30"/>
    <mergeCell ref="D30:D38"/>
    <mergeCell ref="K30:Q30"/>
    <mergeCell ref="T30:T38"/>
    <mergeCell ref="B31:C31"/>
    <mergeCell ref="K31:Q31"/>
    <mergeCell ref="B32:C32"/>
    <mergeCell ref="K32:Q32"/>
    <mergeCell ref="B33:C33"/>
    <mergeCell ref="K33:Q33"/>
    <mergeCell ref="B27:C27"/>
    <mergeCell ref="D27:D28"/>
    <mergeCell ref="T27:T28"/>
    <mergeCell ref="B28:C28"/>
    <mergeCell ref="L28:M28"/>
    <mergeCell ref="B29:C29"/>
    <mergeCell ref="D29:E29"/>
    <mergeCell ref="T29:U29"/>
    <mergeCell ref="B24:C24"/>
    <mergeCell ref="B25:C25"/>
    <mergeCell ref="B26:C26"/>
    <mergeCell ref="D26:E26"/>
    <mergeCell ref="L26:M26"/>
    <mergeCell ref="T26:U26"/>
    <mergeCell ref="B20:C20"/>
    <mergeCell ref="D20:E20"/>
    <mergeCell ref="L20:M20"/>
    <mergeCell ref="T20:U20"/>
    <mergeCell ref="B21:C21"/>
    <mergeCell ref="D21:D25"/>
    <mergeCell ref="L21:L25"/>
    <mergeCell ref="T21:T25"/>
    <mergeCell ref="B22:C22"/>
    <mergeCell ref="B23:C23"/>
    <mergeCell ref="B15:C15"/>
    <mergeCell ref="D15:D19"/>
    <mergeCell ref="L15:L19"/>
    <mergeCell ref="T15:T19"/>
    <mergeCell ref="B16:C16"/>
    <mergeCell ref="B17:C17"/>
    <mergeCell ref="B18:C18"/>
    <mergeCell ref="B19:C19"/>
    <mergeCell ref="Q13:Q14"/>
    <mergeCell ref="S13:S14"/>
    <mergeCell ref="T13:T14"/>
    <mergeCell ref="U13:U14"/>
    <mergeCell ref="V13:W13"/>
    <mergeCell ref="Y13:Y14"/>
    <mergeCell ref="S10:U11"/>
    <mergeCell ref="B13:C14"/>
    <mergeCell ref="D13:D14"/>
    <mergeCell ref="E13:E14"/>
    <mergeCell ref="F13:G13"/>
    <mergeCell ref="I13:I14"/>
    <mergeCell ref="K13:K14"/>
    <mergeCell ref="L13:L14"/>
    <mergeCell ref="M13:M14"/>
    <mergeCell ref="N13:O13"/>
    <mergeCell ref="B8:C8"/>
    <mergeCell ref="K8:L8"/>
    <mergeCell ref="B9:D9"/>
    <mergeCell ref="K9:L9"/>
    <mergeCell ref="K10:M11"/>
    <mergeCell ref="N10:O11"/>
    <mergeCell ref="B7:C7"/>
    <mergeCell ref="K7:M7"/>
    <mergeCell ref="O7:P7"/>
    <mergeCell ref="Q7:S7"/>
    <mergeCell ref="T7:U7"/>
    <mergeCell ref="W7:X7"/>
    <mergeCell ref="B5:C5"/>
    <mergeCell ref="K5:L5"/>
    <mergeCell ref="O5:P5"/>
    <mergeCell ref="T5:U5"/>
    <mergeCell ref="W5:X5"/>
    <mergeCell ref="B6:I6"/>
    <mergeCell ref="K6:L6"/>
    <mergeCell ref="O6:P6"/>
    <mergeCell ref="T3:U3"/>
    <mergeCell ref="V3:V4"/>
    <mergeCell ref="W3:X3"/>
    <mergeCell ref="Y3:Y4"/>
    <mergeCell ref="B4:C4"/>
    <mergeCell ref="K4:M4"/>
    <mergeCell ref="I1:K1"/>
    <mergeCell ref="L1:N1"/>
    <mergeCell ref="P1:R1"/>
    <mergeCell ref="B3:D3"/>
    <mergeCell ref="K3:M3"/>
    <mergeCell ref="O3:P4"/>
    <mergeCell ref="Q3:S4"/>
  </mergeCells>
  <phoneticPr fontId="2" type="noConversion"/>
  <dataValidations count="3">
    <dataValidation type="list" allowBlank="1" showInputMessage="1" showErrorMessage="1" sqref="D5 D7:D8">
      <formula1>INDIRECT($B5)</formula1>
    </dataValidation>
    <dataValidation type="list" allowBlank="1" showInputMessage="1" showErrorMessage="1" sqref="N10">
      <formula1>"폴리쉬, 비가,중종법(스폰지법)"</formula1>
    </dataValidation>
    <dataValidation type="list" allowBlank="1" showInputMessage="1" showErrorMessage="1" sqref="B5 B7:B8">
      <formula1>"사각팬,원형팬,쉬폰팬"</formula1>
    </dataValidation>
  </dataValidations>
  <pageMargins left="0.7" right="0.7" top="0.75" bottom="0.75" header="0.3" footer="0.3"/>
  <pageSetup paperSize="9" scale="5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계산!$B$13:$B$31</xm:f>
          </x14:formula1>
          <xm:sqref>K6 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40"/>
  <sheetViews>
    <sheetView showGridLines="0" zoomScale="70" zoomScaleNormal="70" workbookViewId="0">
      <selection activeCell="I10" sqref="I10"/>
    </sheetView>
  </sheetViews>
  <sheetFormatPr defaultColWidth="9" defaultRowHeight="16.5" x14ac:dyDescent="0.3"/>
  <cols>
    <col min="1" max="1" width="2.5" style="1" customWidth="1"/>
    <col min="2" max="3" width="4.25" style="1" customWidth="1"/>
    <col min="4" max="4" width="12.375" style="1" customWidth="1"/>
    <col min="5" max="7" width="9" style="1"/>
    <col min="8" max="8" width="11" style="1" bestFit="1" customWidth="1"/>
    <col min="9" max="9" width="9" style="1"/>
    <col min="10" max="10" width="3.625" style="1" customWidth="1"/>
    <col min="11" max="12" width="9" style="1"/>
    <col min="13" max="13" width="14.625" style="1" customWidth="1"/>
    <col min="14" max="15" width="9" style="1"/>
    <col min="16" max="16" width="11" style="1" bestFit="1" customWidth="1"/>
    <col min="17" max="17" width="9" style="1"/>
    <col min="18" max="18" width="3.625" style="1" customWidth="1"/>
    <col min="19" max="23" width="9" style="1"/>
    <col min="24" max="24" width="11" style="1" bestFit="1" customWidth="1"/>
    <col min="25" max="16384" width="9" style="1"/>
  </cols>
  <sheetData>
    <row r="1" spans="2:25" ht="36" customHeight="1" thickBot="1" x14ac:dyDescent="0.35">
      <c r="I1" s="120" t="s">
        <v>0</v>
      </c>
      <c r="J1" s="121"/>
      <c r="K1" s="121"/>
      <c r="L1" s="122" t="s">
        <v>1</v>
      </c>
      <c r="M1" s="122"/>
      <c r="N1" s="122"/>
      <c r="O1" s="43" t="s">
        <v>2</v>
      </c>
      <c r="P1" s="122" t="s">
        <v>3</v>
      </c>
      <c r="Q1" s="122"/>
      <c r="R1" s="140"/>
    </row>
    <row r="2" spans="2:25" ht="17.25" thickBot="1" x14ac:dyDescent="0.35"/>
    <row r="3" spans="2:25" ht="34.5" customHeight="1" x14ac:dyDescent="0.3">
      <c r="B3" s="176" t="s">
        <v>4</v>
      </c>
      <c r="C3" s="177"/>
      <c r="D3" s="178"/>
      <c r="E3" s="67" t="s">
        <v>5</v>
      </c>
      <c r="F3" s="68" t="s">
        <v>6</v>
      </c>
      <c r="G3" s="68" t="s">
        <v>7</v>
      </c>
      <c r="H3" s="69" t="s">
        <v>8</v>
      </c>
      <c r="I3" s="70" t="s">
        <v>9</v>
      </c>
      <c r="K3" s="149" t="s">
        <v>10</v>
      </c>
      <c r="L3" s="150"/>
      <c r="M3" s="151"/>
      <c r="O3" s="144" t="s">
        <v>11</v>
      </c>
      <c r="P3" s="131"/>
      <c r="Q3" s="131" t="s">
        <v>12</v>
      </c>
      <c r="R3" s="131"/>
      <c r="S3" s="142"/>
      <c r="T3" s="179" t="s">
        <v>13</v>
      </c>
      <c r="U3" s="131"/>
      <c r="V3" s="142" t="s">
        <v>14</v>
      </c>
      <c r="W3" s="131" t="s">
        <v>15</v>
      </c>
      <c r="X3" s="131"/>
      <c r="Y3" s="142" t="s">
        <v>16</v>
      </c>
    </row>
    <row r="4" spans="2:25" ht="22.5" customHeight="1" x14ac:dyDescent="0.3">
      <c r="B4" s="166" t="s">
        <v>17</v>
      </c>
      <c r="C4" s="167"/>
      <c r="D4" s="17" t="s">
        <v>18</v>
      </c>
      <c r="E4" s="17"/>
      <c r="F4" s="18"/>
      <c r="G4" s="18"/>
      <c r="H4" s="21"/>
      <c r="I4" s="71"/>
      <c r="K4" s="152" t="s">
        <v>19</v>
      </c>
      <c r="L4" s="153"/>
      <c r="M4" s="154"/>
      <c r="O4" s="183"/>
      <c r="P4" s="180"/>
      <c r="Q4" s="180"/>
      <c r="R4" s="180"/>
      <c r="S4" s="170"/>
      <c r="T4" s="65" t="s">
        <v>20</v>
      </c>
      <c r="U4" s="15" t="s">
        <v>21</v>
      </c>
      <c r="V4" s="170"/>
      <c r="W4" s="15" t="s">
        <v>20</v>
      </c>
      <c r="X4" s="15" t="s">
        <v>21</v>
      </c>
      <c r="Y4" s="170"/>
    </row>
    <row r="5" spans="2:25" ht="20.25" customHeight="1" thickBot="1" x14ac:dyDescent="0.35">
      <c r="B5" s="168" t="s">
        <v>22</v>
      </c>
      <c r="C5" s="169"/>
      <c r="D5" s="44" t="s">
        <v>23</v>
      </c>
      <c r="E5" s="45">
        <v>1</v>
      </c>
      <c r="F5" s="45">
        <v>10</v>
      </c>
      <c r="G5" s="46">
        <f>CEILING(VLOOKUP($D5,틀사이즈기준,8,0)/$M$6,5)</f>
        <v>695</v>
      </c>
      <c r="H5" s="46">
        <f>IF(B5="","",CEILING(G5/F5,5))</f>
        <v>70</v>
      </c>
      <c r="I5" s="47">
        <f>IF(B5="","",G5*E5)</f>
        <v>695</v>
      </c>
      <c r="K5" s="132" t="s">
        <v>24</v>
      </c>
      <c r="L5" s="133"/>
      <c r="M5" s="60" t="s">
        <v>10</v>
      </c>
      <c r="O5" s="138" t="s">
        <v>25</v>
      </c>
      <c r="P5" s="113"/>
      <c r="Q5" s="82" t="s">
        <v>26</v>
      </c>
      <c r="R5" s="83">
        <v>2</v>
      </c>
      <c r="S5" s="84" t="s">
        <v>27</v>
      </c>
      <c r="T5" s="182">
        <v>200</v>
      </c>
      <c r="U5" s="171"/>
      <c r="V5" s="78">
        <v>24</v>
      </c>
      <c r="W5" s="171"/>
      <c r="X5" s="171"/>
      <c r="Y5" s="78"/>
    </row>
    <row r="6" spans="2:25" ht="20.25" customHeight="1" x14ac:dyDescent="0.3">
      <c r="B6" s="173" t="s">
        <v>28</v>
      </c>
      <c r="C6" s="174"/>
      <c r="D6" s="174"/>
      <c r="E6" s="174"/>
      <c r="F6" s="174"/>
      <c r="G6" s="174"/>
      <c r="H6" s="174"/>
      <c r="I6" s="175"/>
      <c r="K6" s="134" t="s">
        <v>29</v>
      </c>
      <c r="L6" s="135"/>
      <c r="M6" s="61">
        <f>VLOOKUP($K$6,비용적,2,0)</f>
        <v>3.4</v>
      </c>
      <c r="O6" s="138" t="s">
        <v>30</v>
      </c>
      <c r="P6" s="113"/>
      <c r="Q6" s="82" t="s">
        <v>26</v>
      </c>
      <c r="R6" s="83">
        <v>2</v>
      </c>
      <c r="S6" s="84" t="s">
        <v>27</v>
      </c>
      <c r="T6" s="66">
        <v>200</v>
      </c>
      <c r="U6" s="64">
        <v>170</v>
      </c>
      <c r="V6" s="78">
        <v>24</v>
      </c>
      <c r="W6" s="64"/>
      <c r="X6" s="64"/>
      <c r="Y6" s="78"/>
    </row>
    <row r="7" spans="2:25" ht="20.25" customHeight="1" thickBot="1" x14ac:dyDescent="0.35">
      <c r="B7" s="158" t="s">
        <v>22</v>
      </c>
      <c r="C7" s="159"/>
      <c r="D7" s="14" t="s">
        <v>23</v>
      </c>
      <c r="E7" s="4">
        <v>1.5</v>
      </c>
      <c r="F7" s="4">
        <v>10</v>
      </c>
      <c r="G7" s="5">
        <f>IF(B7="","",CEILING(VLOOKUP($D7,틀사이즈기준,8,0)/$M$9,5))</f>
        <v>695</v>
      </c>
      <c r="H7" s="5">
        <f>IF(B7="","",CEILING(G7/F7,5))</f>
        <v>70</v>
      </c>
      <c r="I7" s="81">
        <f>IF(B7="","",G7*E7)</f>
        <v>1042.5</v>
      </c>
      <c r="K7" s="155" t="s">
        <v>31</v>
      </c>
      <c r="L7" s="156"/>
      <c r="M7" s="157"/>
      <c r="O7" s="139" t="s">
        <v>32</v>
      </c>
      <c r="P7" s="108"/>
      <c r="Q7" s="184"/>
      <c r="R7" s="185"/>
      <c r="S7" s="186"/>
      <c r="T7" s="181"/>
      <c r="U7" s="172"/>
      <c r="V7" s="79"/>
      <c r="W7" s="172"/>
      <c r="X7" s="172"/>
      <c r="Y7" s="79"/>
    </row>
    <row r="8" spans="2:25" ht="20.25" customHeight="1" x14ac:dyDescent="0.3">
      <c r="B8" s="158"/>
      <c r="C8" s="159"/>
      <c r="D8" s="14"/>
      <c r="E8" s="4"/>
      <c r="F8" s="4"/>
      <c r="G8" s="5" t="str">
        <f>IF(B8="","",CEILING(VLOOKUP($D8,틀사이즈기준,8,0)/$M$9,5))</f>
        <v/>
      </c>
      <c r="H8" s="5" t="str">
        <f>IF(B8="","",CEILING(G8/F8,5))</f>
        <v/>
      </c>
      <c r="I8" s="81" t="str">
        <f>IF(B8="","",G8*E8)</f>
        <v/>
      </c>
      <c r="K8" s="132" t="s">
        <v>24</v>
      </c>
      <c r="L8" s="133"/>
      <c r="M8" s="60" t="s">
        <v>10</v>
      </c>
    </row>
    <row r="9" spans="2:25" ht="20.25" customHeight="1" thickBot="1" x14ac:dyDescent="0.35">
      <c r="B9" s="123" t="s">
        <v>33</v>
      </c>
      <c r="C9" s="124"/>
      <c r="D9" s="124"/>
      <c r="E9" s="46">
        <f>IF($E$7="","",SUM(E7:E8))</f>
        <v>1.5</v>
      </c>
      <c r="F9" s="46">
        <f>IF($E$7="","",SUM(F7:F8))</f>
        <v>10</v>
      </c>
      <c r="G9" s="46">
        <f>IF($E$7="","",SUM(G7:G8))</f>
        <v>695</v>
      </c>
      <c r="H9" s="72">
        <f>IF($E$7="","",SUM(H7:H8))</f>
        <v>70</v>
      </c>
      <c r="I9" s="73">
        <f>SUM(I7:I8)</f>
        <v>1042.5</v>
      </c>
      <c r="K9" s="136" t="s">
        <v>29</v>
      </c>
      <c r="L9" s="137"/>
      <c r="M9" s="61">
        <f>VLOOKUP($K$9,비용적,2,0)</f>
        <v>3.4</v>
      </c>
    </row>
    <row r="10" spans="2:25" x14ac:dyDescent="0.3">
      <c r="B10" s="10"/>
      <c r="C10" s="10"/>
      <c r="D10" s="10"/>
      <c r="E10" s="10"/>
      <c r="F10" s="10"/>
      <c r="G10" s="10"/>
      <c r="H10" s="2" t="s">
        <v>34</v>
      </c>
      <c r="I10" s="3">
        <f>G39/I5</f>
        <v>1.1410071942446043</v>
      </c>
      <c r="K10" s="125" t="s">
        <v>35</v>
      </c>
      <c r="L10" s="126"/>
      <c r="M10" s="126"/>
      <c r="N10" s="129" t="s">
        <v>36</v>
      </c>
      <c r="O10" s="129"/>
      <c r="P10" s="28" t="s">
        <v>37</v>
      </c>
      <c r="Q10" s="62" t="s">
        <v>38</v>
      </c>
      <c r="S10" s="165" t="s">
        <v>39</v>
      </c>
      <c r="T10" s="165"/>
      <c r="U10" s="165"/>
    </row>
    <row r="11" spans="2:25" ht="17.25" thickBot="1" x14ac:dyDescent="0.35">
      <c r="K11" s="127"/>
      <c r="L11" s="128"/>
      <c r="M11" s="128"/>
      <c r="N11" s="130"/>
      <c r="O11" s="130"/>
      <c r="P11" s="31">
        <f>VLOOKUP($N$10,계산!$B$3:$D$5,2,0)</f>
        <v>0.5</v>
      </c>
      <c r="Q11" s="63">
        <f>VLOOKUP($N$10,계산!$B$3:$D$5,3,0)</f>
        <v>1</v>
      </c>
      <c r="S11" s="165"/>
      <c r="T11" s="165"/>
      <c r="U11" s="165"/>
    </row>
    <row r="12" spans="2:25" ht="17.25" thickBot="1" x14ac:dyDescent="0.35">
      <c r="P12" s="13"/>
      <c r="Q12" s="13"/>
    </row>
    <row r="13" spans="2:25" ht="21.75" customHeight="1" x14ac:dyDescent="0.3">
      <c r="B13" s="149" t="s">
        <v>40</v>
      </c>
      <c r="C13" s="160"/>
      <c r="D13" s="131" t="s">
        <v>17</v>
      </c>
      <c r="E13" s="131" t="s">
        <v>41</v>
      </c>
      <c r="F13" s="131" t="s">
        <v>42</v>
      </c>
      <c r="G13" s="131"/>
      <c r="H13" s="28" t="s">
        <v>31</v>
      </c>
      <c r="I13" s="147" t="s">
        <v>43</v>
      </c>
      <c r="K13" s="144" t="s">
        <v>40</v>
      </c>
      <c r="L13" s="131" t="s">
        <v>17</v>
      </c>
      <c r="M13" s="131" t="s">
        <v>41</v>
      </c>
      <c r="N13" s="131" t="s">
        <v>42</v>
      </c>
      <c r="O13" s="131"/>
      <c r="P13" s="28" t="s">
        <v>31</v>
      </c>
      <c r="Q13" s="147" t="s">
        <v>43</v>
      </c>
      <c r="S13" s="144" t="s">
        <v>40</v>
      </c>
      <c r="T13" s="131" t="s">
        <v>17</v>
      </c>
      <c r="U13" s="131" t="s">
        <v>41</v>
      </c>
      <c r="V13" s="131" t="s">
        <v>42</v>
      </c>
      <c r="W13" s="131"/>
      <c r="X13" s="28" t="s">
        <v>31</v>
      </c>
      <c r="Y13" s="142" t="s">
        <v>43</v>
      </c>
    </row>
    <row r="14" spans="2:25" ht="21.75" customHeight="1" thickBot="1" x14ac:dyDescent="0.35">
      <c r="B14" s="161"/>
      <c r="C14" s="162"/>
      <c r="D14" s="141"/>
      <c r="E14" s="141"/>
      <c r="F14" s="35" t="s">
        <v>44</v>
      </c>
      <c r="G14" s="35" t="s">
        <v>45</v>
      </c>
      <c r="H14" s="35" t="s">
        <v>45</v>
      </c>
      <c r="I14" s="148"/>
      <c r="K14" s="145"/>
      <c r="L14" s="141"/>
      <c r="M14" s="141"/>
      <c r="N14" s="35" t="s">
        <v>44</v>
      </c>
      <c r="O14" s="35" t="s">
        <v>45</v>
      </c>
      <c r="P14" s="35"/>
      <c r="Q14" s="148"/>
      <c r="S14" s="145"/>
      <c r="T14" s="141"/>
      <c r="U14" s="141"/>
      <c r="V14" s="35" t="s">
        <v>44</v>
      </c>
      <c r="W14" s="35" t="s">
        <v>45</v>
      </c>
      <c r="X14" s="35"/>
      <c r="Y14" s="143"/>
    </row>
    <row r="15" spans="2:25" ht="20.100000000000001" customHeight="1" x14ac:dyDescent="0.3">
      <c r="B15" s="163">
        <v>1</v>
      </c>
      <c r="C15" s="164"/>
      <c r="D15" s="111" t="s">
        <v>37</v>
      </c>
      <c r="E15" s="16" t="s">
        <v>46</v>
      </c>
      <c r="F15" s="33">
        <f>IF(E15="","",G15/G$20)</f>
        <v>0.90476190476190477</v>
      </c>
      <c r="G15" s="16">
        <v>380</v>
      </c>
      <c r="H15" s="27">
        <f>IF(E15="","",ROUNDUP(G15*$I$39,0))</f>
        <v>571</v>
      </c>
      <c r="I15" s="34"/>
      <c r="K15" s="48">
        <v>1</v>
      </c>
      <c r="L15" s="109" t="str">
        <f>IF($D15="","",$D15)</f>
        <v>밀가루</v>
      </c>
      <c r="M15" s="37" t="str">
        <f>IF($E15="","",$E15)</f>
        <v>강력분</v>
      </c>
      <c r="N15" s="38">
        <f>IF(M15="","",O15/G$20)</f>
        <v>0.45238095238095238</v>
      </c>
      <c r="O15" s="49">
        <f>IF(OR($N$10="",M15=""),"",G15*$P$11)</f>
        <v>190</v>
      </c>
      <c r="P15" s="80">
        <f>IF(M15="","",ROUNDUP(O15*$I$39,0))</f>
        <v>286</v>
      </c>
      <c r="Q15" s="39"/>
      <c r="S15" s="48">
        <v>1</v>
      </c>
      <c r="T15" s="109" t="str">
        <f>IF($D15="","",$D15)</f>
        <v>밀가루</v>
      </c>
      <c r="U15" s="37" t="str">
        <f>IF($E15="","",$E15)</f>
        <v>강력분</v>
      </c>
      <c r="V15" s="38">
        <f>IF(U15="","",W15/G$20)</f>
        <v>0.45238095238095238</v>
      </c>
      <c r="W15" s="59">
        <f>IF(U15="","",G15-O15)</f>
        <v>190</v>
      </c>
      <c r="X15" s="80">
        <f>IF(U15="","",ROUNDUP(W15*$I$39,0))</f>
        <v>286</v>
      </c>
      <c r="Y15" s="39"/>
    </row>
    <row r="16" spans="2:25" ht="20.100000000000001" customHeight="1" x14ac:dyDescent="0.3">
      <c r="B16" s="106">
        <v>2</v>
      </c>
      <c r="C16" s="107"/>
      <c r="D16" s="113"/>
      <c r="E16" s="2" t="s">
        <v>47</v>
      </c>
      <c r="F16" s="7">
        <f t="shared" ref="F16:F19" si="0">IF(E16="","",G16/G$20)</f>
        <v>9.5238095238095233E-2</v>
      </c>
      <c r="G16" s="2">
        <v>40</v>
      </c>
      <c r="H16" s="6">
        <f t="shared" ref="H16:H38" si="1">IF(E16="","",ROUNDUP(G16*$I$39,0))</f>
        <v>61</v>
      </c>
      <c r="I16" s="29"/>
      <c r="K16" s="50">
        <v>2</v>
      </c>
      <c r="L16" s="110"/>
      <c r="M16" s="2" t="str">
        <f t="shared" ref="M16:M25" si="2">IF($E16="","",$E16)</f>
        <v>박력분</v>
      </c>
      <c r="N16" s="7">
        <f t="shared" ref="N16:N19" si="3">IF(M16="","",O16/G$20)</f>
        <v>4.7619047619047616E-2</v>
      </c>
      <c r="O16" s="11">
        <f t="shared" ref="O16:O19" si="4">IF(OR($N$10="",M16=""),"",G16*$P$11)</f>
        <v>20</v>
      </c>
      <c r="P16" s="6">
        <f t="shared" ref="P16:P19" si="5">IF(M16="","",ROUNDUP(O16*$I$39,0))</f>
        <v>31</v>
      </c>
      <c r="Q16" s="29"/>
      <c r="S16" s="50">
        <v>2</v>
      </c>
      <c r="T16" s="110"/>
      <c r="U16" s="2" t="str">
        <f>IF($E16="","",$E16)</f>
        <v>박력분</v>
      </c>
      <c r="V16" s="7">
        <f>IF(U16="","",W16/G$20)</f>
        <v>4.7619047619047616E-2</v>
      </c>
      <c r="W16" s="12">
        <f>IF(U16="","",G16-O16)</f>
        <v>20</v>
      </c>
      <c r="X16" s="6">
        <f t="shared" ref="X16:X19" si="6">IF(U16="","",ROUNDUP(W16*$I$39,0))</f>
        <v>31</v>
      </c>
      <c r="Y16" s="29"/>
    </row>
    <row r="17" spans="2:25" ht="20.100000000000001" customHeight="1" x14ac:dyDescent="0.3">
      <c r="B17" s="106">
        <v>3</v>
      </c>
      <c r="C17" s="107"/>
      <c r="D17" s="113"/>
      <c r="E17" s="2"/>
      <c r="F17" s="7" t="str">
        <f t="shared" si="0"/>
        <v/>
      </c>
      <c r="G17" s="2"/>
      <c r="H17" s="6" t="str">
        <f t="shared" si="1"/>
        <v/>
      </c>
      <c r="I17" s="29"/>
      <c r="K17" s="50">
        <v>3</v>
      </c>
      <c r="L17" s="110"/>
      <c r="M17" s="2" t="str">
        <f t="shared" si="2"/>
        <v/>
      </c>
      <c r="N17" s="7" t="str">
        <f t="shared" si="3"/>
        <v/>
      </c>
      <c r="O17" s="11" t="str">
        <f t="shared" si="4"/>
        <v/>
      </c>
      <c r="P17" s="6" t="str">
        <f t="shared" si="5"/>
        <v/>
      </c>
      <c r="Q17" s="29"/>
      <c r="S17" s="50">
        <v>3</v>
      </c>
      <c r="T17" s="110"/>
      <c r="U17" s="2" t="str">
        <f>IF($E17="","",$E17)</f>
        <v/>
      </c>
      <c r="V17" s="7" t="str">
        <f>IF(U17="","",W17/G$20)</f>
        <v/>
      </c>
      <c r="W17" s="12" t="str">
        <f>IF(U17="","",G17-O17)</f>
        <v/>
      </c>
      <c r="X17" s="6" t="str">
        <f t="shared" si="6"/>
        <v/>
      </c>
      <c r="Y17" s="29"/>
    </row>
    <row r="18" spans="2:25" ht="20.100000000000001" customHeight="1" x14ac:dyDescent="0.3">
      <c r="B18" s="106">
        <v>4</v>
      </c>
      <c r="C18" s="107"/>
      <c r="D18" s="113"/>
      <c r="E18" s="2"/>
      <c r="F18" s="7" t="str">
        <f t="shared" si="0"/>
        <v/>
      </c>
      <c r="G18" s="2"/>
      <c r="H18" s="6" t="str">
        <f t="shared" si="1"/>
        <v/>
      </c>
      <c r="I18" s="29"/>
      <c r="K18" s="50">
        <v>4</v>
      </c>
      <c r="L18" s="110"/>
      <c r="M18" s="2" t="str">
        <f t="shared" si="2"/>
        <v/>
      </c>
      <c r="N18" s="7" t="str">
        <f t="shared" si="3"/>
        <v/>
      </c>
      <c r="O18" s="11" t="str">
        <f t="shared" si="4"/>
        <v/>
      </c>
      <c r="P18" s="6" t="str">
        <f t="shared" si="5"/>
        <v/>
      </c>
      <c r="Q18" s="29"/>
      <c r="S18" s="50">
        <v>4</v>
      </c>
      <c r="T18" s="110"/>
      <c r="U18" s="2" t="str">
        <f>IF($E18="","",$E18)</f>
        <v/>
      </c>
      <c r="V18" s="7" t="str">
        <f>IF(U18="","",W18/G$20)</f>
        <v/>
      </c>
      <c r="W18" s="12" t="str">
        <f>IF(U18="","",G18-O18)</f>
        <v/>
      </c>
      <c r="X18" s="6" t="str">
        <f t="shared" si="6"/>
        <v/>
      </c>
      <c r="Y18" s="29"/>
    </row>
    <row r="19" spans="2:25" ht="20.100000000000001" customHeight="1" thickBot="1" x14ac:dyDescent="0.35">
      <c r="B19" s="106">
        <v>5</v>
      </c>
      <c r="C19" s="107"/>
      <c r="D19" s="113"/>
      <c r="E19" s="2"/>
      <c r="F19" s="7" t="str">
        <f t="shared" si="0"/>
        <v/>
      </c>
      <c r="G19" s="2"/>
      <c r="H19" s="6" t="str">
        <f t="shared" si="1"/>
        <v/>
      </c>
      <c r="I19" s="29"/>
      <c r="K19" s="50">
        <v>5</v>
      </c>
      <c r="L19" s="111"/>
      <c r="M19" s="2" t="str">
        <f t="shared" si="2"/>
        <v/>
      </c>
      <c r="N19" s="7" t="str">
        <f t="shared" si="3"/>
        <v/>
      </c>
      <c r="O19" s="11" t="str">
        <f t="shared" si="4"/>
        <v/>
      </c>
      <c r="P19" s="36" t="str">
        <f t="shared" si="5"/>
        <v/>
      </c>
      <c r="Q19" s="29"/>
      <c r="S19" s="50">
        <v>5</v>
      </c>
      <c r="T19" s="111"/>
      <c r="U19" s="2" t="str">
        <f>IF($E19="","",$E19)</f>
        <v/>
      </c>
      <c r="V19" s="7" t="str">
        <f>IF(U19="","",W19/G$20)</f>
        <v/>
      </c>
      <c r="W19" s="12" t="str">
        <f>IF(U19="","",G19-O19)</f>
        <v/>
      </c>
      <c r="X19" s="36" t="str">
        <f t="shared" si="6"/>
        <v/>
      </c>
      <c r="Y19" s="29"/>
    </row>
    <row r="20" spans="2:25" ht="20.100000000000001" customHeight="1" thickBot="1" x14ac:dyDescent="0.35">
      <c r="B20" s="102">
        <v>6</v>
      </c>
      <c r="C20" s="103"/>
      <c r="D20" s="108" t="s">
        <v>48</v>
      </c>
      <c r="E20" s="108"/>
      <c r="F20" s="31">
        <f>SUM(F15:F19)</f>
        <v>1</v>
      </c>
      <c r="G20" s="36">
        <f>SUM(G15:G19)</f>
        <v>420</v>
      </c>
      <c r="H20" s="36">
        <f>SUM(H15:H19)</f>
        <v>632</v>
      </c>
      <c r="I20" s="32"/>
      <c r="K20" s="51">
        <v>6</v>
      </c>
      <c r="L20" s="108" t="s">
        <v>48</v>
      </c>
      <c r="M20" s="108"/>
      <c r="N20" s="31">
        <f>SUM(N15:N19)</f>
        <v>0.5</v>
      </c>
      <c r="O20" s="52">
        <f>SUM(O15:O19)</f>
        <v>210</v>
      </c>
      <c r="P20" s="75">
        <f>SUM(P15:P19)</f>
        <v>317</v>
      </c>
      <c r="Q20" s="32"/>
      <c r="S20" s="51">
        <v>6</v>
      </c>
      <c r="T20" s="108" t="s">
        <v>48</v>
      </c>
      <c r="U20" s="108"/>
      <c r="V20" s="31">
        <f>SUM(V15:V19)</f>
        <v>0.5</v>
      </c>
      <c r="W20" s="36">
        <f>SUM(W15:W19)</f>
        <v>210</v>
      </c>
      <c r="X20" s="74">
        <f>SUM(X15:X19)</f>
        <v>317</v>
      </c>
      <c r="Y20" s="76"/>
    </row>
    <row r="21" spans="2:25" ht="20.100000000000001" customHeight="1" x14ac:dyDescent="0.3">
      <c r="B21" s="104">
        <v>7</v>
      </c>
      <c r="C21" s="105"/>
      <c r="D21" s="112" t="s">
        <v>38</v>
      </c>
      <c r="E21" s="37" t="s">
        <v>49</v>
      </c>
      <c r="F21" s="38">
        <f>IF(E21="","",G21/G$20)</f>
        <v>0.61904761904761907</v>
      </c>
      <c r="G21" s="37">
        <v>260</v>
      </c>
      <c r="H21" s="80">
        <f t="shared" si="1"/>
        <v>391</v>
      </c>
      <c r="I21" s="39"/>
      <c r="K21" s="48">
        <v>7</v>
      </c>
      <c r="L21" s="109" t="str">
        <f>IF($D21="","",$D21)</f>
        <v>수분</v>
      </c>
      <c r="M21" s="37" t="str">
        <f t="shared" si="2"/>
        <v>물</v>
      </c>
      <c r="N21" s="38">
        <f>IF(M21="","",O21/G$20)</f>
        <v>0.5</v>
      </c>
      <c r="O21" s="49">
        <f>IF(OR($N$10="",M21=""),"",$O$20/$G$26*G21*$Q$11)</f>
        <v>210</v>
      </c>
      <c r="P21" s="80">
        <f>IF(M21="","",ROUNDUP(O21*$I$39,0))</f>
        <v>316</v>
      </c>
      <c r="Q21" s="39"/>
      <c r="S21" s="48">
        <v>7</v>
      </c>
      <c r="T21" s="109" t="str">
        <f>IF($D21="","",$D21)</f>
        <v>수분</v>
      </c>
      <c r="U21" s="37" t="str">
        <f>IF($E21="","",$E21)</f>
        <v>물</v>
      </c>
      <c r="V21" s="38">
        <f>IF(U21="","",W21/G$20)</f>
        <v>0.11904761904761904</v>
      </c>
      <c r="W21" s="59">
        <f>IF(U21="","",G21-O21)</f>
        <v>50</v>
      </c>
      <c r="X21" s="80">
        <f>IF(U21="","",ROUNDUP(W21*$I$39,0))</f>
        <v>76</v>
      </c>
      <c r="Y21" s="39"/>
    </row>
    <row r="22" spans="2:25" ht="20.100000000000001" customHeight="1" x14ac:dyDescent="0.3">
      <c r="B22" s="106">
        <v>8</v>
      </c>
      <c r="C22" s="107"/>
      <c r="D22" s="113"/>
      <c r="E22" s="2"/>
      <c r="F22" s="7" t="str">
        <f t="shared" ref="F22:F25" si="7">IF(E22="","",G22/G$20)</f>
        <v/>
      </c>
      <c r="G22" s="2"/>
      <c r="H22" s="6" t="str">
        <f t="shared" si="1"/>
        <v/>
      </c>
      <c r="I22" s="29"/>
      <c r="K22" s="50">
        <v>8</v>
      </c>
      <c r="L22" s="110"/>
      <c r="M22" s="2" t="str">
        <f t="shared" si="2"/>
        <v/>
      </c>
      <c r="N22" s="7" t="str">
        <f t="shared" ref="N22:N25" si="8">IF(M22="","",O22/G$20)</f>
        <v/>
      </c>
      <c r="O22" s="11" t="str">
        <f>IF(OR($N$10="",M22=""),"",$O$20/$G$26*G22*$Q$11)</f>
        <v/>
      </c>
      <c r="P22" s="6" t="str">
        <f t="shared" ref="P22:P25" si="9">IF(M22="","",ROUNDUP(O22*$I$39,0))</f>
        <v/>
      </c>
      <c r="Q22" s="29"/>
      <c r="S22" s="50">
        <v>8</v>
      </c>
      <c r="T22" s="110"/>
      <c r="U22" s="2" t="str">
        <f>IF($E22="","",$E22)</f>
        <v/>
      </c>
      <c r="V22" s="7" t="str">
        <f>IF(U22="","",W22/G$20)</f>
        <v/>
      </c>
      <c r="W22" s="12" t="str">
        <f>IF(U22="","",G22-O22)</f>
        <v/>
      </c>
      <c r="X22" s="6" t="str">
        <f t="shared" ref="X22:X25" si="10">IF(U22="","",ROUNDUP(W22*$I$39,0))</f>
        <v/>
      </c>
      <c r="Y22" s="29"/>
    </row>
    <row r="23" spans="2:25" ht="20.100000000000001" customHeight="1" x14ac:dyDescent="0.3">
      <c r="B23" s="106">
        <v>9</v>
      </c>
      <c r="C23" s="107"/>
      <c r="D23" s="113"/>
      <c r="E23" s="2"/>
      <c r="F23" s="7" t="str">
        <f t="shared" si="7"/>
        <v/>
      </c>
      <c r="G23" s="2"/>
      <c r="H23" s="6" t="str">
        <f t="shared" si="1"/>
        <v/>
      </c>
      <c r="I23" s="29"/>
      <c r="K23" s="50">
        <v>9</v>
      </c>
      <c r="L23" s="110"/>
      <c r="M23" s="2" t="str">
        <f t="shared" si="2"/>
        <v/>
      </c>
      <c r="N23" s="7" t="str">
        <f t="shared" si="8"/>
        <v/>
      </c>
      <c r="O23" s="11" t="str">
        <f>IF(OR($N$10="",M23=""),"",$O$20/$G$26*G23*$Q$11)</f>
        <v/>
      </c>
      <c r="P23" s="6" t="str">
        <f t="shared" si="9"/>
        <v/>
      </c>
      <c r="Q23" s="29"/>
      <c r="S23" s="50">
        <v>9</v>
      </c>
      <c r="T23" s="110"/>
      <c r="U23" s="2" t="str">
        <f>IF($E23="","",$E23)</f>
        <v/>
      </c>
      <c r="V23" s="7" t="str">
        <f>IF(U23="","",W23/G$20)</f>
        <v/>
      </c>
      <c r="W23" s="12" t="str">
        <f>IF(U23="","",G23-O23)</f>
        <v/>
      </c>
      <c r="X23" s="6" t="str">
        <f t="shared" si="10"/>
        <v/>
      </c>
      <c r="Y23" s="29"/>
    </row>
    <row r="24" spans="2:25" ht="20.100000000000001" customHeight="1" x14ac:dyDescent="0.3">
      <c r="B24" s="106">
        <v>10</v>
      </c>
      <c r="C24" s="107"/>
      <c r="D24" s="113"/>
      <c r="E24" s="2"/>
      <c r="F24" s="7" t="str">
        <f t="shared" si="7"/>
        <v/>
      </c>
      <c r="G24" s="2"/>
      <c r="H24" s="6" t="str">
        <f t="shared" si="1"/>
        <v/>
      </c>
      <c r="I24" s="29"/>
      <c r="K24" s="50">
        <v>10</v>
      </c>
      <c r="L24" s="110"/>
      <c r="M24" s="2" t="str">
        <f t="shared" si="2"/>
        <v/>
      </c>
      <c r="N24" s="7" t="str">
        <f t="shared" si="8"/>
        <v/>
      </c>
      <c r="O24" s="11" t="str">
        <f>IF(OR($N$10="",M24=""),"",$O$20/$G$26*G24*$Q$11)</f>
        <v/>
      </c>
      <c r="P24" s="6" t="str">
        <f t="shared" si="9"/>
        <v/>
      </c>
      <c r="Q24" s="29"/>
      <c r="S24" s="50">
        <v>10</v>
      </c>
      <c r="T24" s="110"/>
      <c r="U24" s="2" t="str">
        <f>IF($E24="","",$E24)</f>
        <v/>
      </c>
      <c r="V24" s="7" t="str">
        <f>IF(U24="","",W24/G$20)</f>
        <v/>
      </c>
      <c r="W24" s="12" t="str">
        <f>IF(U24="","",G24-O24)</f>
        <v/>
      </c>
      <c r="X24" s="6" t="str">
        <f t="shared" si="10"/>
        <v/>
      </c>
      <c r="Y24" s="29"/>
    </row>
    <row r="25" spans="2:25" ht="20.100000000000001" customHeight="1" thickBot="1" x14ac:dyDescent="0.35">
      <c r="B25" s="106">
        <v>11</v>
      </c>
      <c r="C25" s="107"/>
      <c r="D25" s="113"/>
      <c r="E25" s="2"/>
      <c r="F25" s="7" t="str">
        <f t="shared" si="7"/>
        <v/>
      </c>
      <c r="G25" s="2"/>
      <c r="H25" s="6" t="str">
        <f t="shared" si="1"/>
        <v/>
      </c>
      <c r="I25" s="29"/>
      <c r="K25" s="50">
        <v>11</v>
      </c>
      <c r="L25" s="111"/>
      <c r="M25" s="2" t="str">
        <f t="shared" si="2"/>
        <v/>
      </c>
      <c r="N25" s="7" t="str">
        <f t="shared" si="8"/>
        <v/>
      </c>
      <c r="O25" s="11" t="str">
        <f>IF(OR($N$10="",M25=""),"",$O$20/$G$26*G25*$Q$11)</f>
        <v/>
      </c>
      <c r="P25" s="36" t="str">
        <f t="shared" si="9"/>
        <v/>
      </c>
      <c r="Q25" s="29"/>
      <c r="S25" s="50">
        <v>11</v>
      </c>
      <c r="T25" s="111"/>
      <c r="U25" s="2" t="str">
        <f>IF($E25="","",$E25)</f>
        <v/>
      </c>
      <c r="V25" s="7" t="str">
        <f>IF(U25="","",W25/G$20)</f>
        <v/>
      </c>
      <c r="W25" s="12" t="str">
        <f>IF(U25="","",G25-O25)</f>
        <v/>
      </c>
      <c r="X25" s="36" t="str">
        <f t="shared" si="10"/>
        <v/>
      </c>
      <c r="Y25" s="29"/>
    </row>
    <row r="26" spans="2:25" ht="20.100000000000001" customHeight="1" thickBot="1" x14ac:dyDescent="0.35">
      <c r="B26" s="102">
        <v>12</v>
      </c>
      <c r="C26" s="103"/>
      <c r="D26" s="108" t="s">
        <v>50</v>
      </c>
      <c r="E26" s="108"/>
      <c r="F26" s="31">
        <f>SUM(F21:F25)</f>
        <v>0.61904761904761907</v>
      </c>
      <c r="G26" s="36">
        <f>SUM(G21:G25)</f>
        <v>260</v>
      </c>
      <c r="H26" s="36">
        <f>SUM(H21:H25)</f>
        <v>391</v>
      </c>
      <c r="I26" s="32"/>
      <c r="K26" s="51">
        <v>12</v>
      </c>
      <c r="L26" s="108" t="s">
        <v>50</v>
      </c>
      <c r="M26" s="108"/>
      <c r="N26" s="31">
        <f>SUM(N21:N25)</f>
        <v>0.5</v>
      </c>
      <c r="O26" s="36">
        <f>SUM(O21:O25)</f>
        <v>210</v>
      </c>
      <c r="P26" s="74">
        <f>SUM(P21:P25)</f>
        <v>316</v>
      </c>
      <c r="Q26" s="32"/>
      <c r="S26" s="51">
        <v>12</v>
      </c>
      <c r="T26" s="108" t="s">
        <v>50</v>
      </c>
      <c r="U26" s="108"/>
      <c r="V26" s="31">
        <f>SUM(V21:V25)</f>
        <v>0.11904761904761904</v>
      </c>
      <c r="W26" s="36">
        <f>SUM(W21:W25)</f>
        <v>50</v>
      </c>
      <c r="X26" s="74">
        <f>SUM(X21:X25)</f>
        <v>76</v>
      </c>
      <c r="Y26" s="32"/>
    </row>
    <row r="27" spans="2:25" ht="20.100000000000001" customHeight="1" thickBot="1" x14ac:dyDescent="0.35">
      <c r="B27" s="104">
        <v>13</v>
      </c>
      <c r="C27" s="105"/>
      <c r="D27" s="112" t="s">
        <v>51</v>
      </c>
      <c r="E27" s="37" t="s">
        <v>52</v>
      </c>
      <c r="F27" s="38">
        <f>IF(E27="","",G27/G$20)</f>
        <v>3.8095238095238099E-2</v>
      </c>
      <c r="G27" s="37">
        <v>16</v>
      </c>
      <c r="H27" s="80">
        <f t="shared" si="1"/>
        <v>25</v>
      </c>
      <c r="I27" s="39" t="s">
        <v>53</v>
      </c>
      <c r="K27" s="53">
        <v>13</v>
      </c>
      <c r="L27" s="54" t="s">
        <v>54</v>
      </c>
      <c r="M27" s="54" t="s">
        <v>55</v>
      </c>
      <c r="N27" s="55">
        <f>IF(M27="","",O27/G$20)</f>
        <v>2.3809523809523812E-3</v>
      </c>
      <c r="O27" s="56">
        <f>IF(G32="","",1)</f>
        <v>1</v>
      </c>
      <c r="P27" s="80">
        <f>IF(M27="","",ROUNDUP(O27*$I$39,0))</f>
        <v>2</v>
      </c>
      <c r="Q27" s="57"/>
      <c r="S27" s="48">
        <v>13</v>
      </c>
      <c r="T27" s="112" t="str">
        <f>IF($D27="","",$D27)</f>
        <v>기타수분</v>
      </c>
      <c r="U27" s="37" t="str">
        <f>IF($E27="","",$E27)</f>
        <v>버터</v>
      </c>
      <c r="V27" s="38">
        <f>IF(U27="","",W27/G$20)</f>
        <v>3.8095238095238099E-2</v>
      </c>
      <c r="W27" s="37">
        <f>IF(G27="","",G27)</f>
        <v>16</v>
      </c>
      <c r="X27" s="80">
        <f>IF(U27="","",ROUNDUP(W27*$I$39,0))</f>
        <v>25</v>
      </c>
      <c r="Y27" s="39"/>
    </row>
    <row r="28" spans="2:25" ht="20.100000000000001" customHeight="1" thickBot="1" x14ac:dyDescent="0.35">
      <c r="B28" s="106">
        <v>14</v>
      </c>
      <c r="C28" s="107"/>
      <c r="D28" s="113"/>
      <c r="E28" s="2"/>
      <c r="F28" s="7" t="str">
        <f>IF(E28="","",G28/G$20)</f>
        <v/>
      </c>
      <c r="G28" s="2"/>
      <c r="H28" s="6" t="str">
        <f t="shared" si="1"/>
        <v/>
      </c>
      <c r="I28" s="29" t="s">
        <v>56</v>
      </c>
      <c r="K28" s="53"/>
      <c r="L28" s="146" t="s">
        <v>57</v>
      </c>
      <c r="M28" s="146"/>
      <c r="N28" s="58">
        <f>N26/N20</f>
        <v>1</v>
      </c>
      <c r="O28" s="40"/>
      <c r="P28" s="54"/>
      <c r="Q28" s="57"/>
      <c r="S28" s="50">
        <v>14</v>
      </c>
      <c r="T28" s="113"/>
      <c r="U28" s="2" t="str">
        <f>IF($E28="","",$E28)</f>
        <v/>
      </c>
      <c r="V28" s="7" t="str">
        <f>IF(U28="","",W28/G$20)</f>
        <v/>
      </c>
      <c r="W28" s="2" t="str">
        <f>IF(G28="","",G28)</f>
        <v/>
      </c>
      <c r="X28" s="36" t="str">
        <f>IF(U28="","",ROUNDUP(W28*$I$39,0))</f>
        <v/>
      </c>
      <c r="Y28" s="29"/>
    </row>
    <row r="29" spans="2:25" ht="20.100000000000001" customHeight="1" thickBot="1" x14ac:dyDescent="0.35">
      <c r="B29" s="102">
        <v>15</v>
      </c>
      <c r="C29" s="103"/>
      <c r="D29" s="108" t="s">
        <v>50</v>
      </c>
      <c r="E29" s="108"/>
      <c r="F29" s="31" t="str">
        <f t="shared" ref="F29" si="11">IF(E29="","",G29/SUM($G$15:$G$20))</f>
        <v/>
      </c>
      <c r="G29" s="36">
        <v>25</v>
      </c>
      <c r="H29" s="36">
        <v>25</v>
      </c>
      <c r="I29" s="32"/>
      <c r="S29" s="51">
        <v>15</v>
      </c>
      <c r="T29" s="108" t="s">
        <v>50</v>
      </c>
      <c r="U29" s="108"/>
      <c r="V29" s="31">
        <f>SUM(V27:V28)</f>
        <v>3.8095238095238099E-2</v>
      </c>
      <c r="W29" s="36">
        <f>SUM(W27:W28)</f>
        <v>16</v>
      </c>
      <c r="X29" s="74">
        <f>SUM(X27:X28)</f>
        <v>25</v>
      </c>
      <c r="Y29" s="32"/>
    </row>
    <row r="30" spans="2:25" ht="20.100000000000001" customHeight="1" x14ac:dyDescent="0.3">
      <c r="B30" s="104">
        <v>16</v>
      </c>
      <c r="C30" s="105"/>
      <c r="D30" s="112" t="s">
        <v>54</v>
      </c>
      <c r="E30" s="37" t="s">
        <v>58</v>
      </c>
      <c r="F30" s="38">
        <f>IF(E30="","",G30/G$20)</f>
        <v>1.6666666666666666E-2</v>
      </c>
      <c r="G30" s="37">
        <v>7</v>
      </c>
      <c r="H30" s="80">
        <f t="shared" si="1"/>
        <v>11</v>
      </c>
      <c r="I30" s="39"/>
      <c r="K30" s="117" t="s">
        <v>59</v>
      </c>
      <c r="L30" s="118"/>
      <c r="M30" s="118"/>
      <c r="N30" s="118"/>
      <c r="O30" s="118"/>
      <c r="P30" s="118"/>
      <c r="Q30" s="119"/>
      <c r="S30" s="48">
        <v>16</v>
      </c>
      <c r="T30" s="112" t="str">
        <f>IF($D30="","",$D30)</f>
        <v>기타</v>
      </c>
      <c r="U30" s="37" t="str">
        <f t="shared" ref="U30:U38" si="12">IF($E30="","",$E30)</f>
        <v>소금</v>
      </c>
      <c r="V30" s="38">
        <f t="shared" ref="V30:V38" si="13">IF(U30="","",W30/G$20)</f>
        <v>1.6666666666666666E-2</v>
      </c>
      <c r="W30" s="37">
        <f>IF(G30="","",G30)</f>
        <v>7</v>
      </c>
      <c r="X30" s="80">
        <f>IF(U30="","",ROUNDUP(W30*$I$39,0))</f>
        <v>11</v>
      </c>
      <c r="Y30" s="39"/>
    </row>
    <row r="31" spans="2:25" ht="20.100000000000001" customHeight="1" x14ac:dyDescent="0.3">
      <c r="B31" s="106">
        <v>17</v>
      </c>
      <c r="C31" s="107"/>
      <c r="D31" s="113"/>
      <c r="E31" s="2" t="s">
        <v>60</v>
      </c>
      <c r="F31" s="7">
        <f t="shared" ref="F31:F38" si="14">IF(E31="","",G31/G$20)</f>
        <v>3.3333333333333333E-2</v>
      </c>
      <c r="G31" s="2">
        <v>14</v>
      </c>
      <c r="H31" s="6">
        <f t="shared" si="1"/>
        <v>22</v>
      </c>
      <c r="I31" s="29"/>
      <c r="K31" s="114"/>
      <c r="L31" s="115"/>
      <c r="M31" s="115"/>
      <c r="N31" s="115"/>
      <c r="O31" s="115"/>
      <c r="P31" s="115"/>
      <c r="Q31" s="116"/>
      <c r="S31" s="50">
        <v>17</v>
      </c>
      <c r="T31" s="113"/>
      <c r="U31" s="2" t="str">
        <f t="shared" si="12"/>
        <v>설탕</v>
      </c>
      <c r="V31" s="7">
        <f t="shared" si="13"/>
        <v>3.3333333333333333E-2</v>
      </c>
      <c r="W31" s="2">
        <f>IF(G31="","",G31)</f>
        <v>14</v>
      </c>
      <c r="X31" s="6">
        <f t="shared" ref="X31:X38" si="15">IF(U31="","",ROUNDUP(W31*$I$39,0))</f>
        <v>22</v>
      </c>
      <c r="Y31" s="29"/>
    </row>
    <row r="32" spans="2:25" ht="20.100000000000001" customHeight="1" x14ac:dyDescent="0.3">
      <c r="B32" s="106">
        <v>18</v>
      </c>
      <c r="C32" s="107"/>
      <c r="D32" s="113"/>
      <c r="E32" s="2" t="s">
        <v>55</v>
      </c>
      <c r="F32" s="7">
        <f t="shared" si="14"/>
        <v>1.1904761904761904E-2</v>
      </c>
      <c r="G32" s="2">
        <v>5</v>
      </c>
      <c r="H32" s="6">
        <f t="shared" si="1"/>
        <v>8</v>
      </c>
      <c r="I32" s="29"/>
      <c r="K32" s="114"/>
      <c r="L32" s="115"/>
      <c r="M32" s="115"/>
      <c r="N32" s="115"/>
      <c r="O32" s="115"/>
      <c r="P32" s="115"/>
      <c r="Q32" s="116"/>
      <c r="S32" s="50">
        <v>18</v>
      </c>
      <c r="T32" s="113"/>
      <c r="U32" s="2" t="str">
        <f t="shared" si="12"/>
        <v>이스트</v>
      </c>
      <c r="V32" s="7">
        <f t="shared" si="13"/>
        <v>9.5238095238095247E-3</v>
      </c>
      <c r="W32" s="2">
        <f>IF(G32="","",IF(E32="생이스트",G32/2-O27,G32-O27))</f>
        <v>4</v>
      </c>
      <c r="X32" s="6">
        <f t="shared" si="15"/>
        <v>7</v>
      </c>
      <c r="Y32" s="29"/>
    </row>
    <row r="33" spans="2:25" ht="20.100000000000001" customHeight="1" x14ac:dyDescent="0.3">
      <c r="B33" s="106">
        <v>19</v>
      </c>
      <c r="C33" s="107"/>
      <c r="D33" s="113"/>
      <c r="E33" s="2" t="s">
        <v>61</v>
      </c>
      <c r="F33" s="7">
        <f t="shared" si="14"/>
        <v>2.8571428571428571E-2</v>
      </c>
      <c r="G33" s="2">
        <v>12</v>
      </c>
      <c r="H33" s="6">
        <f t="shared" si="1"/>
        <v>19</v>
      </c>
      <c r="I33" s="29"/>
      <c r="K33" s="114"/>
      <c r="L33" s="115"/>
      <c r="M33" s="115"/>
      <c r="N33" s="115"/>
      <c r="O33" s="115"/>
      <c r="P33" s="115"/>
      <c r="Q33" s="116"/>
      <c r="S33" s="50">
        <v>19</v>
      </c>
      <c r="T33" s="113"/>
      <c r="U33" s="2" t="str">
        <f t="shared" si="12"/>
        <v>탈지분유</v>
      </c>
      <c r="V33" s="7">
        <f t="shared" si="13"/>
        <v>2.8571428571428571E-2</v>
      </c>
      <c r="W33" s="2">
        <f t="shared" ref="W33:W38" si="16">IF(G33="","",G33)</f>
        <v>12</v>
      </c>
      <c r="X33" s="6">
        <f t="shared" si="15"/>
        <v>19</v>
      </c>
      <c r="Y33" s="29"/>
    </row>
    <row r="34" spans="2:25" ht="20.100000000000001" customHeight="1" x14ac:dyDescent="0.3">
      <c r="B34" s="106">
        <v>20</v>
      </c>
      <c r="C34" s="107"/>
      <c r="D34" s="113"/>
      <c r="E34" s="2" t="s">
        <v>62</v>
      </c>
      <c r="F34" s="7">
        <f t="shared" si="14"/>
        <v>0.11904761904761904</v>
      </c>
      <c r="G34" s="2">
        <v>50</v>
      </c>
      <c r="H34" s="6">
        <f t="shared" si="1"/>
        <v>76</v>
      </c>
      <c r="I34" s="29"/>
      <c r="K34" s="114"/>
      <c r="L34" s="115"/>
      <c r="M34" s="115"/>
      <c r="N34" s="115"/>
      <c r="O34" s="115"/>
      <c r="P34" s="115"/>
      <c r="Q34" s="116"/>
      <c r="S34" s="50">
        <v>20</v>
      </c>
      <c r="T34" s="113"/>
      <c r="U34" s="2" t="str">
        <f t="shared" si="12"/>
        <v>묵은반준</v>
      </c>
      <c r="V34" s="7">
        <f t="shared" si="13"/>
        <v>0.11904761904761904</v>
      </c>
      <c r="W34" s="2">
        <f t="shared" si="16"/>
        <v>50</v>
      </c>
      <c r="X34" s="6">
        <f t="shared" si="15"/>
        <v>76</v>
      </c>
      <c r="Y34" s="29"/>
    </row>
    <row r="35" spans="2:25" ht="20.100000000000001" customHeight="1" x14ac:dyDescent="0.3">
      <c r="B35" s="106">
        <v>21</v>
      </c>
      <c r="C35" s="107"/>
      <c r="D35" s="113"/>
      <c r="E35" s="2"/>
      <c r="F35" s="7" t="str">
        <f t="shared" si="14"/>
        <v/>
      </c>
      <c r="G35" s="2"/>
      <c r="H35" s="6" t="str">
        <f t="shared" si="1"/>
        <v/>
      </c>
      <c r="I35" s="29"/>
      <c r="K35" s="114"/>
      <c r="L35" s="115"/>
      <c r="M35" s="115"/>
      <c r="N35" s="115"/>
      <c r="O35" s="115"/>
      <c r="P35" s="115"/>
      <c r="Q35" s="116"/>
      <c r="S35" s="50">
        <v>21</v>
      </c>
      <c r="T35" s="113"/>
      <c r="U35" s="2" t="str">
        <f t="shared" si="12"/>
        <v/>
      </c>
      <c r="V35" s="7" t="str">
        <f t="shared" si="13"/>
        <v/>
      </c>
      <c r="W35" s="2" t="str">
        <f t="shared" si="16"/>
        <v/>
      </c>
      <c r="X35" s="6" t="str">
        <f t="shared" si="15"/>
        <v/>
      </c>
      <c r="Y35" s="29"/>
    </row>
    <row r="36" spans="2:25" ht="20.100000000000001" customHeight="1" x14ac:dyDescent="0.3">
      <c r="B36" s="106">
        <v>22</v>
      </c>
      <c r="C36" s="107"/>
      <c r="D36" s="113"/>
      <c r="E36" s="2"/>
      <c r="F36" s="7" t="str">
        <f t="shared" si="14"/>
        <v/>
      </c>
      <c r="G36" s="2"/>
      <c r="H36" s="6" t="str">
        <f t="shared" si="1"/>
        <v/>
      </c>
      <c r="I36" s="29"/>
      <c r="K36" s="114"/>
      <c r="L36" s="115"/>
      <c r="M36" s="115"/>
      <c r="N36" s="115"/>
      <c r="O36" s="115"/>
      <c r="P36" s="115"/>
      <c r="Q36" s="116"/>
      <c r="S36" s="50">
        <v>22</v>
      </c>
      <c r="T36" s="113"/>
      <c r="U36" s="2" t="str">
        <f t="shared" si="12"/>
        <v/>
      </c>
      <c r="V36" s="7" t="str">
        <f t="shared" si="13"/>
        <v/>
      </c>
      <c r="W36" s="2" t="str">
        <f t="shared" si="16"/>
        <v/>
      </c>
      <c r="X36" s="6" t="str">
        <f t="shared" si="15"/>
        <v/>
      </c>
      <c r="Y36" s="29"/>
    </row>
    <row r="37" spans="2:25" ht="20.100000000000001" customHeight="1" x14ac:dyDescent="0.3">
      <c r="B37" s="106">
        <v>23</v>
      </c>
      <c r="C37" s="107"/>
      <c r="D37" s="113"/>
      <c r="E37" s="2"/>
      <c r="F37" s="7" t="str">
        <f t="shared" si="14"/>
        <v/>
      </c>
      <c r="G37" s="2"/>
      <c r="H37" s="6" t="str">
        <f t="shared" si="1"/>
        <v/>
      </c>
      <c r="I37" s="29"/>
      <c r="K37" s="114"/>
      <c r="L37" s="115"/>
      <c r="M37" s="115"/>
      <c r="N37" s="115"/>
      <c r="O37" s="115"/>
      <c r="P37" s="115"/>
      <c r="Q37" s="116"/>
      <c r="S37" s="50">
        <v>23</v>
      </c>
      <c r="T37" s="113"/>
      <c r="U37" s="2" t="str">
        <f t="shared" si="12"/>
        <v/>
      </c>
      <c r="V37" s="7" t="str">
        <f t="shared" si="13"/>
        <v/>
      </c>
      <c r="W37" s="2" t="str">
        <f t="shared" si="16"/>
        <v/>
      </c>
      <c r="X37" s="6" t="str">
        <f t="shared" si="15"/>
        <v/>
      </c>
      <c r="Y37" s="29"/>
    </row>
    <row r="38" spans="2:25" ht="20.100000000000001" customHeight="1" thickBot="1" x14ac:dyDescent="0.35">
      <c r="B38" s="102">
        <v>24</v>
      </c>
      <c r="C38" s="103"/>
      <c r="D38" s="108"/>
      <c r="E38" s="30"/>
      <c r="F38" s="31" t="str">
        <f t="shared" si="14"/>
        <v/>
      </c>
      <c r="G38" s="30"/>
      <c r="H38" s="36" t="str">
        <f t="shared" si="1"/>
        <v/>
      </c>
      <c r="I38" s="32"/>
      <c r="K38" s="114"/>
      <c r="L38" s="115"/>
      <c r="M38" s="115"/>
      <c r="N38" s="115"/>
      <c r="O38" s="115"/>
      <c r="P38" s="115"/>
      <c r="Q38" s="116"/>
      <c r="S38" s="51">
        <v>24</v>
      </c>
      <c r="T38" s="108"/>
      <c r="U38" s="30" t="str">
        <f t="shared" si="12"/>
        <v/>
      </c>
      <c r="V38" s="31" t="str">
        <f t="shared" si="13"/>
        <v/>
      </c>
      <c r="W38" s="30" t="str">
        <f t="shared" si="16"/>
        <v/>
      </c>
      <c r="X38" s="36" t="str">
        <f t="shared" si="15"/>
        <v/>
      </c>
      <c r="Y38" s="32"/>
    </row>
    <row r="39" spans="2:25" ht="30" customHeight="1" thickBot="1" x14ac:dyDescent="0.35">
      <c r="B39" s="100" t="s">
        <v>63</v>
      </c>
      <c r="C39" s="101"/>
      <c r="D39" s="101"/>
      <c r="E39" s="101"/>
      <c r="F39" s="40"/>
      <c r="G39" s="40">
        <f>SUM(G20,G26,G29,G30:G38)</f>
        <v>793</v>
      </c>
      <c r="H39" s="41">
        <f>CEILING(I9*I10,5)</f>
        <v>1190</v>
      </c>
      <c r="I39" s="77">
        <f>H39/G39</f>
        <v>1.5006305170239596</v>
      </c>
      <c r="K39" s="114"/>
      <c r="L39" s="115"/>
      <c r="M39" s="115"/>
      <c r="N39" s="115"/>
      <c r="O39" s="115"/>
      <c r="P39" s="115"/>
      <c r="Q39" s="116"/>
      <c r="S39" s="100" t="s">
        <v>63</v>
      </c>
      <c r="T39" s="101"/>
      <c r="U39" s="101"/>
      <c r="V39" s="40"/>
      <c r="W39" s="40">
        <f>SUM(W20,W26,W29,W30:W38)</f>
        <v>363</v>
      </c>
      <c r="X39" s="40">
        <f>SUM(X20,X26,X29,X30:X38)</f>
        <v>553</v>
      </c>
      <c r="Y39" s="42"/>
    </row>
    <row r="40" spans="2:25" x14ac:dyDescent="0.3">
      <c r="G40" s="25"/>
      <c r="H40" s="26"/>
    </row>
  </sheetData>
  <mergeCells count="104">
    <mergeCell ref="S10:U11"/>
    <mergeCell ref="B4:C4"/>
    <mergeCell ref="B5:C5"/>
    <mergeCell ref="B8:C8"/>
    <mergeCell ref="W3:X3"/>
    <mergeCell ref="Y3:Y4"/>
    <mergeCell ref="W5:X5"/>
    <mergeCell ref="W7:X7"/>
    <mergeCell ref="B6:I6"/>
    <mergeCell ref="B3:D3"/>
    <mergeCell ref="T3:U3"/>
    <mergeCell ref="Q3:S4"/>
    <mergeCell ref="T7:U7"/>
    <mergeCell ref="T5:U5"/>
    <mergeCell ref="V3:V4"/>
    <mergeCell ref="O3:P4"/>
    <mergeCell ref="Q7:S7"/>
    <mergeCell ref="B38:C38"/>
    <mergeCell ref="K3:M3"/>
    <mergeCell ref="K4:M4"/>
    <mergeCell ref="K7:M7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7:C7"/>
    <mergeCell ref="B13:C14"/>
    <mergeCell ref="B15:C15"/>
    <mergeCell ref="K36:Q36"/>
    <mergeCell ref="K37:Q37"/>
    <mergeCell ref="K38:Q38"/>
    <mergeCell ref="B17:C17"/>
    <mergeCell ref="B18:C18"/>
    <mergeCell ref="D30:D38"/>
    <mergeCell ref="V13:W13"/>
    <mergeCell ref="U13:U14"/>
    <mergeCell ref="Y13:Y14"/>
    <mergeCell ref="T13:T14"/>
    <mergeCell ref="S13:S14"/>
    <mergeCell ref="L28:M28"/>
    <mergeCell ref="D13:D14"/>
    <mergeCell ref="E13:E14"/>
    <mergeCell ref="F13:G13"/>
    <mergeCell ref="K13:K14"/>
    <mergeCell ref="L13:L14"/>
    <mergeCell ref="M13:M14"/>
    <mergeCell ref="I13:I14"/>
    <mergeCell ref="L21:L25"/>
    <mergeCell ref="L26:M26"/>
    <mergeCell ref="D15:D19"/>
    <mergeCell ref="T15:T19"/>
    <mergeCell ref="Q13:Q14"/>
    <mergeCell ref="I1:K1"/>
    <mergeCell ref="L1:N1"/>
    <mergeCell ref="D20:E20"/>
    <mergeCell ref="D21:D25"/>
    <mergeCell ref="D26:E26"/>
    <mergeCell ref="D27:D28"/>
    <mergeCell ref="D29:E29"/>
    <mergeCell ref="B9:D9"/>
    <mergeCell ref="L15:L19"/>
    <mergeCell ref="K10:M11"/>
    <mergeCell ref="N10:O11"/>
    <mergeCell ref="N13:O13"/>
    <mergeCell ref="B19:C19"/>
    <mergeCell ref="K5:L5"/>
    <mergeCell ref="K6:L6"/>
    <mergeCell ref="K8:L8"/>
    <mergeCell ref="K9:L9"/>
    <mergeCell ref="O5:P5"/>
    <mergeCell ref="O6:P6"/>
    <mergeCell ref="O7:P7"/>
    <mergeCell ref="B16:C16"/>
    <mergeCell ref="P1:R1"/>
    <mergeCell ref="B39:E39"/>
    <mergeCell ref="B20:C20"/>
    <mergeCell ref="B21:C21"/>
    <mergeCell ref="B22:C22"/>
    <mergeCell ref="B23:C23"/>
    <mergeCell ref="B24:C24"/>
    <mergeCell ref="S39:U39"/>
    <mergeCell ref="T20:U20"/>
    <mergeCell ref="T21:T25"/>
    <mergeCell ref="T26:U26"/>
    <mergeCell ref="T27:T28"/>
    <mergeCell ref="T29:U29"/>
    <mergeCell ref="T30:T38"/>
    <mergeCell ref="L20:M20"/>
    <mergeCell ref="K39:Q39"/>
    <mergeCell ref="K31:Q31"/>
    <mergeCell ref="K32:Q32"/>
    <mergeCell ref="K33:Q33"/>
    <mergeCell ref="K34:Q34"/>
    <mergeCell ref="K35:Q35"/>
    <mergeCell ref="K30:Q30"/>
    <mergeCell ref="B35:C35"/>
    <mergeCell ref="B36:C36"/>
    <mergeCell ref="B37:C37"/>
  </mergeCells>
  <phoneticPr fontId="2" type="noConversion"/>
  <dataValidations count="3">
    <dataValidation type="list" allowBlank="1" showInputMessage="1" showErrorMessage="1" sqref="B5 B7:B8">
      <formula1>"사각팬,원형팬,쉬폰팬"</formula1>
    </dataValidation>
    <dataValidation type="list" allowBlank="1" showInputMessage="1" showErrorMessage="1" sqref="N10">
      <formula1>"폴리쉬, 비가,중종법(스폰지법)"</formula1>
    </dataValidation>
    <dataValidation type="list" allowBlank="1" showInputMessage="1" showErrorMessage="1" sqref="D5 D7:D8">
      <formula1>INDIRECT($B5)</formula1>
    </dataValidation>
  </dataValidations>
  <pageMargins left="0.7" right="0.7" top="0.75" bottom="0.75" header="0.3" footer="0.3"/>
  <pageSetup paperSize="9" scale="5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계산!$B$13:$B$31</xm:f>
          </x14:formula1>
          <xm:sqref>K6 K9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60" zoomScaleSheetLayoutView="100"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0"/>
  <sheetViews>
    <sheetView topLeftCell="A13" workbookViewId="0">
      <selection activeCell="B41" sqref="B41"/>
    </sheetView>
  </sheetViews>
  <sheetFormatPr defaultRowHeight="16.5" x14ac:dyDescent="0.3"/>
  <sheetData>
    <row r="2" spans="2:6" x14ac:dyDescent="0.3">
      <c r="B2" t="s">
        <v>64</v>
      </c>
      <c r="E2" t="s">
        <v>65</v>
      </c>
    </row>
    <row r="3" spans="2:6" x14ac:dyDescent="0.3">
      <c r="B3" t="s">
        <v>66</v>
      </c>
      <c r="C3" s="3">
        <v>0.1</v>
      </c>
      <c r="E3" t="s">
        <v>67</v>
      </c>
      <c r="F3" s="3">
        <v>0.75</v>
      </c>
    </row>
    <row r="4" spans="2:6" x14ac:dyDescent="0.3">
      <c r="B4" t="s">
        <v>68</v>
      </c>
      <c r="C4" s="3">
        <v>0.3</v>
      </c>
      <c r="E4" t="s">
        <v>68</v>
      </c>
      <c r="F4" s="3">
        <v>0.505</v>
      </c>
    </row>
    <row r="5" spans="2:6" x14ac:dyDescent="0.3">
      <c r="B5" t="s">
        <v>69</v>
      </c>
      <c r="C5" s="3">
        <v>0.6</v>
      </c>
      <c r="E5" t="s">
        <v>69</v>
      </c>
      <c r="F5" s="3">
        <v>0.88</v>
      </c>
    </row>
    <row r="6" spans="2:6" x14ac:dyDescent="0.3">
      <c r="E6" t="s">
        <v>70</v>
      </c>
      <c r="F6" s="3">
        <v>0.875</v>
      </c>
    </row>
    <row r="7" spans="2:6" x14ac:dyDescent="0.3">
      <c r="B7" t="s">
        <v>71</v>
      </c>
      <c r="E7" t="s">
        <v>52</v>
      </c>
      <c r="F7" s="3">
        <v>0.16</v>
      </c>
    </row>
    <row r="8" spans="2:6" x14ac:dyDescent="0.3">
      <c r="B8" t="s">
        <v>72</v>
      </c>
      <c r="E8" t="s">
        <v>73</v>
      </c>
      <c r="F8" s="3"/>
    </row>
    <row r="10" spans="2:6" x14ac:dyDescent="0.3">
      <c r="B10" t="s">
        <v>74</v>
      </c>
    </row>
    <row r="11" spans="2:6" x14ac:dyDescent="0.3">
      <c r="B11" t="s">
        <v>75</v>
      </c>
      <c r="C11" t="s">
        <v>76</v>
      </c>
    </row>
    <row r="12" spans="2:6" x14ac:dyDescent="0.3">
      <c r="B12" t="s">
        <v>77</v>
      </c>
      <c r="C12" t="s">
        <v>78</v>
      </c>
    </row>
    <row r="13" spans="2:6" x14ac:dyDescent="0.3">
      <c r="B13" t="s">
        <v>79</v>
      </c>
      <c r="C13" t="s">
        <v>80</v>
      </c>
    </row>
    <row r="15" spans="2:6" x14ac:dyDescent="0.3">
      <c r="B15" s="8" t="s">
        <v>81</v>
      </c>
    </row>
    <row r="16" spans="2:6" x14ac:dyDescent="0.3">
      <c r="B16" s="8" t="s">
        <v>82</v>
      </c>
    </row>
    <row r="17" spans="2:2" x14ac:dyDescent="0.3">
      <c r="B17" s="8" t="s">
        <v>83</v>
      </c>
    </row>
    <row r="19" spans="2:2" x14ac:dyDescent="0.3">
      <c r="B19" s="8" t="s">
        <v>84</v>
      </c>
    </row>
    <row r="20" spans="2:2" x14ac:dyDescent="0.3">
      <c r="B20" s="8" t="s">
        <v>85</v>
      </c>
    </row>
    <row r="21" spans="2:2" x14ac:dyDescent="0.3">
      <c r="B21" s="8" t="s">
        <v>86</v>
      </c>
    </row>
    <row r="23" spans="2:2" x14ac:dyDescent="0.3">
      <c r="B23" s="8" t="s">
        <v>87</v>
      </c>
    </row>
    <row r="24" spans="2:2" x14ac:dyDescent="0.3">
      <c r="B24" s="8" t="s">
        <v>88</v>
      </c>
    </row>
    <row r="25" spans="2:2" x14ac:dyDescent="0.3">
      <c r="B25" s="8" t="s">
        <v>89</v>
      </c>
    </row>
    <row r="26" spans="2:2" x14ac:dyDescent="0.3">
      <c r="B26" s="8" t="s">
        <v>90</v>
      </c>
    </row>
    <row r="28" spans="2:2" x14ac:dyDescent="0.3">
      <c r="B28" s="8" t="s">
        <v>91</v>
      </c>
    </row>
    <row r="29" spans="2:2" x14ac:dyDescent="0.3">
      <c r="B29" s="8" t="s">
        <v>92</v>
      </c>
    </row>
    <row r="30" spans="2:2" x14ac:dyDescent="0.3">
      <c r="B30" s="8" t="s">
        <v>93</v>
      </c>
    </row>
    <row r="31" spans="2:2" x14ac:dyDescent="0.3">
      <c r="B31" s="8" t="s">
        <v>94</v>
      </c>
    </row>
    <row r="32" spans="2:2" x14ac:dyDescent="0.3">
      <c r="B32" s="8" t="s">
        <v>95</v>
      </c>
    </row>
    <row r="33" spans="2:2" x14ac:dyDescent="0.3">
      <c r="B33" s="8" t="s">
        <v>96</v>
      </c>
    </row>
    <row r="34" spans="2:2" x14ac:dyDescent="0.3">
      <c r="B34" s="8" t="s">
        <v>97</v>
      </c>
    </row>
    <row r="35" spans="2:2" x14ac:dyDescent="0.3">
      <c r="B35" s="8" t="s">
        <v>98</v>
      </c>
    </row>
    <row r="36" spans="2:2" x14ac:dyDescent="0.3">
      <c r="B36" s="8" t="s">
        <v>99</v>
      </c>
    </row>
    <row r="37" spans="2:2" x14ac:dyDescent="0.3">
      <c r="B37" s="8" t="s">
        <v>100</v>
      </c>
    </row>
    <row r="39" spans="2:2" x14ac:dyDescent="0.3">
      <c r="B39" s="8" t="s">
        <v>101</v>
      </c>
    </row>
    <row r="40" spans="2:2" x14ac:dyDescent="0.3">
      <c r="B40" s="8" t="s">
        <v>102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4"/>
  <sheetViews>
    <sheetView workbookViewId="0">
      <selection activeCell="C22" sqref="C22"/>
    </sheetView>
  </sheetViews>
  <sheetFormatPr defaultColWidth="9" defaultRowHeight="16.5" x14ac:dyDescent="0.3"/>
  <cols>
    <col min="1" max="1" width="2.75" style="1" customWidth="1"/>
    <col min="2" max="2" width="9" style="1"/>
    <col min="3" max="3" width="17.375" style="1" customWidth="1"/>
    <col min="4" max="9" width="11" style="10" customWidth="1"/>
    <col min="10" max="10" width="12.75" style="1" bestFit="1" customWidth="1"/>
    <col min="11" max="16384" width="9" style="1"/>
  </cols>
  <sheetData>
    <row r="2" spans="2:10" x14ac:dyDescent="0.3">
      <c r="B2" s="113" t="s">
        <v>17</v>
      </c>
      <c r="C2" s="113" t="s">
        <v>18</v>
      </c>
      <c r="D2" s="187" t="s">
        <v>103</v>
      </c>
      <c r="E2" s="187"/>
      <c r="F2" s="187"/>
      <c r="G2" s="187" t="s">
        <v>104</v>
      </c>
      <c r="H2" s="187"/>
      <c r="I2" s="187"/>
      <c r="J2" s="188" t="s">
        <v>105</v>
      </c>
    </row>
    <row r="3" spans="2:10" x14ac:dyDescent="0.3">
      <c r="B3" s="113"/>
      <c r="C3" s="113"/>
      <c r="D3" s="4" t="s">
        <v>106</v>
      </c>
      <c r="E3" s="4" t="s">
        <v>107</v>
      </c>
      <c r="F3" s="4" t="s">
        <v>108</v>
      </c>
      <c r="G3" s="4" t="s">
        <v>106</v>
      </c>
      <c r="H3" s="4" t="s">
        <v>107</v>
      </c>
      <c r="I3" s="4" t="s">
        <v>108</v>
      </c>
      <c r="J3" s="111"/>
    </row>
    <row r="4" spans="2:10" x14ac:dyDescent="0.3">
      <c r="B4" s="2" t="s">
        <v>109</v>
      </c>
      <c r="C4" s="2" t="s">
        <v>110</v>
      </c>
      <c r="D4" s="4">
        <v>130</v>
      </c>
      <c r="E4" s="4">
        <v>55</v>
      </c>
      <c r="F4" s="4">
        <v>45</v>
      </c>
      <c r="G4" s="4">
        <v>130</v>
      </c>
      <c r="H4" s="4">
        <v>55</v>
      </c>
      <c r="I4" s="4">
        <v>45</v>
      </c>
      <c r="J4" s="24">
        <f>IF(B4="","",IF(G4="",D4*E4*F4/1000,((D4+G4)/2)*((E4+H4)/2)*((F4+I4)/2)/1000))</f>
        <v>321.75</v>
      </c>
    </row>
    <row r="5" spans="2:10" x14ac:dyDescent="0.3">
      <c r="B5" s="2" t="s">
        <v>109</v>
      </c>
      <c r="C5" s="2" t="s">
        <v>111</v>
      </c>
      <c r="D5" s="4">
        <v>150</v>
      </c>
      <c r="E5" s="4">
        <v>70</v>
      </c>
      <c r="F5" s="4">
        <v>63</v>
      </c>
      <c r="G5" s="4">
        <v>150</v>
      </c>
      <c r="H5" s="4">
        <v>70</v>
      </c>
      <c r="I5" s="4">
        <v>63</v>
      </c>
      <c r="J5" s="24">
        <f t="shared" ref="J5:J23" si="0">IF(B5="","",IF(G5="",D5*E5*F5/1000,((D5+G5)/2)*((E5+H5)/2)*((F5+I5)/2)/1000))</f>
        <v>661.5</v>
      </c>
    </row>
    <row r="6" spans="2:10" x14ac:dyDescent="0.3">
      <c r="B6" s="2" t="s">
        <v>109</v>
      </c>
      <c r="C6" s="2" t="s">
        <v>112</v>
      </c>
      <c r="D6" s="4">
        <v>220</v>
      </c>
      <c r="E6" s="4">
        <v>110</v>
      </c>
      <c r="F6" s="4">
        <v>90</v>
      </c>
      <c r="G6" s="4">
        <v>195</v>
      </c>
      <c r="H6" s="4">
        <v>85</v>
      </c>
      <c r="I6" s="4">
        <v>90</v>
      </c>
      <c r="J6" s="24">
        <f t="shared" si="0"/>
        <v>1820.8125</v>
      </c>
    </row>
    <row r="7" spans="2:10" x14ac:dyDescent="0.3">
      <c r="B7" s="2" t="s">
        <v>109</v>
      </c>
      <c r="C7" s="2" t="s">
        <v>113</v>
      </c>
      <c r="D7" s="4">
        <v>308</v>
      </c>
      <c r="E7" s="4">
        <v>104</v>
      </c>
      <c r="F7" s="4">
        <v>94</v>
      </c>
      <c r="G7" s="4">
        <v>276</v>
      </c>
      <c r="H7" s="4">
        <v>84</v>
      </c>
      <c r="I7" s="4">
        <v>94</v>
      </c>
      <c r="J7" s="24">
        <f t="shared" si="0"/>
        <v>2580.1120000000001</v>
      </c>
    </row>
    <row r="8" spans="2:10" x14ac:dyDescent="0.3">
      <c r="B8" s="2" t="s">
        <v>109</v>
      </c>
      <c r="C8" s="2" t="s">
        <v>114</v>
      </c>
      <c r="D8" s="4">
        <v>170</v>
      </c>
      <c r="E8" s="4">
        <v>125</v>
      </c>
      <c r="F8" s="4">
        <v>125</v>
      </c>
      <c r="G8" s="4">
        <v>150</v>
      </c>
      <c r="H8" s="4">
        <v>110</v>
      </c>
      <c r="I8" s="4">
        <v>125</v>
      </c>
      <c r="J8" s="24">
        <f t="shared" si="0"/>
        <v>2350</v>
      </c>
    </row>
    <row r="9" spans="2:10" x14ac:dyDescent="0.3">
      <c r="B9" s="2" t="s">
        <v>109</v>
      </c>
      <c r="C9" s="2" t="s">
        <v>115</v>
      </c>
      <c r="D9" s="4">
        <v>95</v>
      </c>
      <c r="E9" s="4">
        <v>95</v>
      </c>
      <c r="F9" s="4">
        <v>95</v>
      </c>
      <c r="G9" s="4">
        <v>95</v>
      </c>
      <c r="H9" s="4">
        <v>95</v>
      </c>
      <c r="I9" s="4">
        <v>95</v>
      </c>
      <c r="J9" s="24">
        <f t="shared" ref="J9" si="1">IF(B9="","",IF(G9="",D9*E9*F9/1000,((D9+G9)/2)*((E9+H9)/2)*((F9+I9)/2)/1000))</f>
        <v>857.375</v>
      </c>
    </row>
    <row r="10" spans="2:10" x14ac:dyDescent="0.3">
      <c r="B10" s="2" t="s">
        <v>109</v>
      </c>
      <c r="C10" s="2" t="s">
        <v>116</v>
      </c>
      <c r="D10" s="4">
        <v>260</v>
      </c>
      <c r="E10" s="4">
        <v>80</v>
      </c>
      <c r="F10" s="4">
        <v>70</v>
      </c>
      <c r="G10" s="4"/>
      <c r="H10" s="4"/>
      <c r="I10" s="4"/>
      <c r="J10" s="24">
        <f t="shared" si="0"/>
        <v>1456</v>
      </c>
    </row>
    <row r="11" spans="2:10" x14ac:dyDescent="0.3">
      <c r="B11" s="2" t="s">
        <v>109</v>
      </c>
      <c r="C11" s="2" t="s">
        <v>117</v>
      </c>
      <c r="D11" s="4">
        <v>135</v>
      </c>
      <c r="E11" s="4">
        <v>135</v>
      </c>
      <c r="F11" s="4">
        <v>45</v>
      </c>
      <c r="G11" s="4"/>
      <c r="H11" s="4"/>
      <c r="I11" s="4"/>
      <c r="J11" s="24">
        <f t="shared" si="0"/>
        <v>820.125</v>
      </c>
    </row>
    <row r="12" spans="2:10" x14ac:dyDescent="0.3">
      <c r="B12" s="2" t="s">
        <v>109</v>
      </c>
      <c r="C12" s="2" t="s">
        <v>118</v>
      </c>
      <c r="D12" s="4">
        <v>165</v>
      </c>
      <c r="E12" s="4">
        <v>165</v>
      </c>
      <c r="F12" s="4">
        <v>45</v>
      </c>
      <c r="G12" s="4"/>
      <c r="H12" s="4"/>
      <c r="I12" s="4"/>
      <c r="J12" s="24">
        <f t="shared" si="0"/>
        <v>1225.125</v>
      </c>
    </row>
    <row r="13" spans="2:10" x14ac:dyDescent="0.3">
      <c r="B13" s="2" t="s">
        <v>109</v>
      </c>
      <c r="C13" s="2" t="s">
        <v>119</v>
      </c>
      <c r="D13" s="4">
        <v>195</v>
      </c>
      <c r="E13" s="4">
        <v>195</v>
      </c>
      <c r="F13" s="4">
        <v>45</v>
      </c>
      <c r="G13" s="4"/>
      <c r="H13" s="4"/>
      <c r="I13" s="4"/>
      <c r="J13" s="24">
        <f t="shared" si="0"/>
        <v>1711.125</v>
      </c>
    </row>
    <row r="14" spans="2:10" x14ac:dyDescent="0.3">
      <c r="B14" s="2" t="s">
        <v>109</v>
      </c>
      <c r="C14" s="2" t="s">
        <v>120</v>
      </c>
      <c r="D14" s="4">
        <v>230</v>
      </c>
      <c r="E14" s="4">
        <v>230</v>
      </c>
      <c r="F14" s="4">
        <v>45</v>
      </c>
      <c r="G14" s="4"/>
      <c r="H14" s="4"/>
      <c r="I14" s="4"/>
      <c r="J14" s="24">
        <f t="shared" si="0"/>
        <v>2380.5</v>
      </c>
    </row>
    <row r="15" spans="2:10" x14ac:dyDescent="0.3">
      <c r="B15" s="2" t="s">
        <v>109</v>
      </c>
      <c r="C15" s="2" t="s">
        <v>121</v>
      </c>
      <c r="D15" s="4">
        <v>260</v>
      </c>
      <c r="E15" s="4">
        <v>260</v>
      </c>
      <c r="F15" s="4">
        <v>45</v>
      </c>
      <c r="G15" s="4"/>
      <c r="H15" s="4"/>
      <c r="I15" s="4"/>
      <c r="J15" s="24">
        <f t="shared" si="0"/>
        <v>3042</v>
      </c>
    </row>
    <row r="16" spans="2:10" x14ac:dyDescent="0.3">
      <c r="B16" s="2" t="s">
        <v>109</v>
      </c>
      <c r="C16" s="2" t="s">
        <v>122</v>
      </c>
      <c r="D16" s="4">
        <v>300</v>
      </c>
      <c r="E16" s="4">
        <v>300</v>
      </c>
      <c r="F16" s="4">
        <v>45</v>
      </c>
      <c r="G16" s="4"/>
      <c r="H16" s="4"/>
      <c r="I16" s="4"/>
      <c r="J16" s="24">
        <f t="shared" si="0"/>
        <v>4050</v>
      </c>
    </row>
    <row r="17" spans="2:10" x14ac:dyDescent="0.3">
      <c r="B17" s="2" t="s">
        <v>109</v>
      </c>
      <c r="C17" s="2" t="s">
        <v>123</v>
      </c>
      <c r="D17" s="4">
        <v>150</v>
      </c>
      <c r="E17" s="4">
        <v>150</v>
      </c>
      <c r="F17" s="4">
        <v>50</v>
      </c>
      <c r="G17" s="4"/>
      <c r="H17" s="4"/>
      <c r="I17" s="4"/>
      <c r="J17" s="24">
        <f t="shared" si="0"/>
        <v>1125</v>
      </c>
    </row>
    <row r="18" spans="2:10" x14ac:dyDescent="0.3">
      <c r="B18" s="2" t="s">
        <v>109</v>
      </c>
      <c r="C18" s="2" t="s">
        <v>124</v>
      </c>
      <c r="D18" s="4">
        <v>165</v>
      </c>
      <c r="E18" s="4">
        <v>165</v>
      </c>
      <c r="F18" s="4">
        <v>50</v>
      </c>
      <c r="G18" s="4"/>
      <c r="H18" s="4"/>
      <c r="I18" s="4"/>
      <c r="J18" s="24">
        <f t="shared" si="0"/>
        <v>1361.25</v>
      </c>
    </row>
    <row r="19" spans="2:10" x14ac:dyDescent="0.3">
      <c r="B19" s="2" t="s">
        <v>109</v>
      </c>
      <c r="C19" s="2" t="s">
        <v>125</v>
      </c>
      <c r="D19" s="4">
        <v>195</v>
      </c>
      <c r="E19" s="4">
        <v>195</v>
      </c>
      <c r="F19" s="4">
        <v>50</v>
      </c>
      <c r="G19" s="4"/>
      <c r="H19" s="4"/>
      <c r="I19" s="4"/>
      <c r="J19" s="24">
        <f t="shared" si="0"/>
        <v>1901.25</v>
      </c>
    </row>
    <row r="20" spans="2:10" x14ac:dyDescent="0.3">
      <c r="B20" s="2" t="s">
        <v>109</v>
      </c>
      <c r="C20" s="2"/>
      <c r="D20" s="4">
        <v>80</v>
      </c>
      <c r="E20" s="4">
        <v>160</v>
      </c>
      <c r="F20" s="4">
        <v>65</v>
      </c>
      <c r="G20" s="4"/>
      <c r="H20" s="4"/>
      <c r="I20" s="4"/>
      <c r="J20" s="24">
        <f t="shared" si="0"/>
        <v>832</v>
      </c>
    </row>
    <row r="21" spans="2:10" x14ac:dyDescent="0.3">
      <c r="B21" s="91" t="s">
        <v>109</v>
      </c>
      <c r="C21" s="2" t="s">
        <v>181</v>
      </c>
      <c r="D21" s="4">
        <v>50</v>
      </c>
      <c r="E21" s="4">
        <v>50</v>
      </c>
      <c r="F21" s="4">
        <v>50</v>
      </c>
      <c r="G21" s="4"/>
      <c r="H21" s="4"/>
      <c r="I21" s="4"/>
      <c r="J21" s="24">
        <f t="shared" si="0"/>
        <v>125</v>
      </c>
    </row>
    <row r="22" spans="2:10" x14ac:dyDescent="0.3">
      <c r="B22" s="2"/>
      <c r="C22" s="2"/>
      <c r="D22" s="4"/>
      <c r="E22" s="4"/>
      <c r="F22" s="4"/>
      <c r="G22" s="4"/>
      <c r="H22" s="4"/>
      <c r="I22" s="4"/>
      <c r="J22" s="24" t="str">
        <f t="shared" si="0"/>
        <v/>
      </c>
    </row>
    <row r="23" spans="2:10" x14ac:dyDescent="0.3">
      <c r="B23" s="2"/>
      <c r="C23" s="2"/>
      <c r="D23" s="4"/>
      <c r="E23" s="4"/>
      <c r="F23" s="4"/>
      <c r="G23" s="4"/>
      <c r="H23" s="4"/>
      <c r="I23" s="4"/>
      <c r="J23" s="24" t="str">
        <f t="shared" si="0"/>
        <v/>
      </c>
    </row>
    <row r="25" spans="2:10" x14ac:dyDescent="0.3">
      <c r="B25" s="2" t="s">
        <v>17</v>
      </c>
      <c r="C25" s="2" t="s">
        <v>18</v>
      </c>
      <c r="D25" s="9" t="s">
        <v>126</v>
      </c>
      <c r="E25" s="9" t="s">
        <v>127</v>
      </c>
      <c r="F25" s="9" t="s">
        <v>108</v>
      </c>
      <c r="G25" s="19"/>
      <c r="H25" s="20"/>
      <c r="I25" s="20"/>
      <c r="J25" s="4" t="s">
        <v>105</v>
      </c>
    </row>
    <row r="26" spans="2:10" x14ac:dyDescent="0.3">
      <c r="B26" s="2" t="s">
        <v>128</v>
      </c>
      <c r="C26" s="2" t="s">
        <v>129</v>
      </c>
      <c r="D26" s="4">
        <v>120</v>
      </c>
      <c r="E26" s="4">
        <v>120</v>
      </c>
      <c r="F26" s="4">
        <v>45</v>
      </c>
      <c r="G26" s="19"/>
      <c r="H26" s="20"/>
      <c r="I26" s="20"/>
      <c r="J26" s="23">
        <f>IF(B26="","",(D26/2)*(D26/2)*PI()*F26/1000)</f>
        <v>508.93800988154646</v>
      </c>
    </row>
    <row r="27" spans="2:10" x14ac:dyDescent="0.3">
      <c r="B27" s="2" t="s">
        <v>128</v>
      </c>
      <c r="C27" s="2" t="s">
        <v>130</v>
      </c>
      <c r="D27" s="4">
        <v>120</v>
      </c>
      <c r="E27" s="4">
        <v>120</v>
      </c>
      <c r="F27" s="4">
        <v>75</v>
      </c>
      <c r="G27" s="19"/>
      <c r="H27" s="20"/>
      <c r="I27" s="20"/>
      <c r="J27" s="23">
        <f>IF(B27="","",(D27/2)*(D27/2)*PI()*F27/1000)</f>
        <v>848.23001646924411</v>
      </c>
    </row>
    <row r="28" spans="2:10" x14ac:dyDescent="0.3">
      <c r="B28" s="2" t="s">
        <v>128</v>
      </c>
      <c r="C28" s="2" t="s">
        <v>131</v>
      </c>
      <c r="D28" s="4">
        <v>150</v>
      </c>
      <c r="E28" s="4">
        <v>150</v>
      </c>
      <c r="F28" s="4">
        <v>75</v>
      </c>
      <c r="G28" s="19"/>
      <c r="H28" s="20"/>
      <c r="I28" s="20"/>
      <c r="J28" s="23">
        <f>IF(B28="","",(D28/2)*(D28/2)*PI()*F28/1000)</f>
        <v>1325.359400733194</v>
      </c>
    </row>
    <row r="29" spans="2:10" x14ac:dyDescent="0.3">
      <c r="B29" s="2" t="s">
        <v>128</v>
      </c>
      <c r="C29" s="2" t="s">
        <v>132</v>
      </c>
      <c r="D29" s="4">
        <v>180</v>
      </c>
      <c r="E29" s="4">
        <v>180</v>
      </c>
      <c r="F29" s="4">
        <v>75</v>
      </c>
      <c r="G29" s="19"/>
      <c r="H29" s="20"/>
      <c r="I29" s="20"/>
      <c r="J29" s="23">
        <f t="shared" ref="J29:J45" si="2">IF(B29="","",(D29/2)*(D29/2)*PI()*F29/1000)</f>
        <v>1908.5175370557993</v>
      </c>
    </row>
    <row r="30" spans="2:10" x14ac:dyDescent="0.3">
      <c r="B30" s="2" t="s">
        <v>128</v>
      </c>
      <c r="C30" s="2" t="s">
        <v>133</v>
      </c>
      <c r="D30" s="4">
        <v>210</v>
      </c>
      <c r="E30" s="4">
        <v>210</v>
      </c>
      <c r="F30" s="4">
        <v>75</v>
      </c>
      <c r="G30" s="19"/>
      <c r="H30" s="20"/>
      <c r="I30" s="20"/>
      <c r="J30" s="23">
        <f t="shared" si="2"/>
        <v>2597.7044254370603</v>
      </c>
    </row>
    <row r="31" spans="2:10" x14ac:dyDescent="0.3">
      <c r="B31" s="2" t="s">
        <v>128</v>
      </c>
      <c r="C31" s="2" t="s">
        <v>134</v>
      </c>
      <c r="D31" s="4">
        <v>150</v>
      </c>
      <c r="E31" s="4">
        <v>150</v>
      </c>
      <c r="F31" s="4">
        <v>70</v>
      </c>
      <c r="G31" s="19"/>
      <c r="H31" s="20"/>
      <c r="I31" s="20"/>
      <c r="J31" s="23">
        <f t="shared" si="2"/>
        <v>1237.0021073509811</v>
      </c>
    </row>
    <row r="32" spans="2:10" x14ac:dyDescent="0.3">
      <c r="B32" s="2" t="s">
        <v>128</v>
      </c>
      <c r="C32" s="2" t="s">
        <v>135</v>
      </c>
      <c r="D32" s="4">
        <v>180</v>
      </c>
      <c r="E32" s="4">
        <v>180</v>
      </c>
      <c r="F32" s="4">
        <v>70</v>
      </c>
      <c r="G32" s="19"/>
      <c r="H32" s="20"/>
      <c r="I32" s="20"/>
      <c r="J32" s="23">
        <f t="shared" si="2"/>
        <v>1781.2830345854127</v>
      </c>
    </row>
    <row r="33" spans="2:10" x14ac:dyDescent="0.3">
      <c r="B33" s="2" t="s">
        <v>128</v>
      </c>
      <c r="C33" s="2" t="s">
        <v>136</v>
      </c>
      <c r="D33" s="4">
        <v>210</v>
      </c>
      <c r="E33" s="4">
        <v>210</v>
      </c>
      <c r="F33" s="4">
        <v>70</v>
      </c>
      <c r="G33" s="19"/>
      <c r="H33" s="20"/>
      <c r="I33" s="20"/>
      <c r="J33" s="23">
        <f t="shared" si="2"/>
        <v>2424.5241304079227</v>
      </c>
    </row>
    <row r="34" spans="2:10" x14ac:dyDescent="0.3">
      <c r="B34" s="2" t="s">
        <v>128</v>
      </c>
      <c r="C34" s="2" t="s">
        <v>137</v>
      </c>
      <c r="D34" s="4">
        <v>130</v>
      </c>
      <c r="E34" s="4">
        <v>120</v>
      </c>
      <c r="F34" s="4">
        <v>20</v>
      </c>
      <c r="G34" s="19"/>
      <c r="H34" s="20"/>
      <c r="I34" s="20"/>
      <c r="J34" s="23">
        <f t="shared" si="2"/>
        <v>265.46457922833753</v>
      </c>
    </row>
    <row r="35" spans="2:10" x14ac:dyDescent="0.3">
      <c r="B35" s="2" t="s">
        <v>128</v>
      </c>
      <c r="C35" s="2" t="s">
        <v>138</v>
      </c>
      <c r="D35" s="4">
        <v>165</v>
      </c>
      <c r="E35" s="4">
        <v>155</v>
      </c>
      <c r="F35" s="4">
        <v>20</v>
      </c>
      <c r="G35" s="19"/>
      <c r="H35" s="20"/>
      <c r="I35" s="20"/>
      <c r="J35" s="23">
        <f t="shared" si="2"/>
        <v>427.6492999699106</v>
      </c>
    </row>
    <row r="36" spans="2:10" x14ac:dyDescent="0.3">
      <c r="B36" s="2" t="s">
        <v>128</v>
      </c>
      <c r="C36" s="2" t="s">
        <v>139</v>
      </c>
      <c r="D36" s="4">
        <v>200</v>
      </c>
      <c r="E36" s="4">
        <v>185</v>
      </c>
      <c r="F36" s="4">
        <v>20</v>
      </c>
      <c r="G36" s="19"/>
      <c r="H36" s="20"/>
      <c r="I36" s="20"/>
      <c r="J36" s="23">
        <f t="shared" si="2"/>
        <v>628.31853071795865</v>
      </c>
    </row>
    <row r="37" spans="2:10" x14ac:dyDescent="0.3">
      <c r="B37" s="2" t="s">
        <v>128</v>
      </c>
      <c r="C37" s="2" t="s">
        <v>140</v>
      </c>
      <c r="D37" s="4">
        <v>235</v>
      </c>
      <c r="E37" s="4">
        <v>225</v>
      </c>
      <c r="F37" s="4">
        <v>20</v>
      </c>
      <c r="G37" s="19"/>
      <c r="H37" s="20"/>
      <c r="I37" s="20"/>
      <c r="J37" s="23">
        <f t="shared" si="2"/>
        <v>867.47227147248168</v>
      </c>
    </row>
    <row r="38" spans="2:10" x14ac:dyDescent="0.3">
      <c r="B38" s="2"/>
      <c r="C38" s="2"/>
      <c r="D38" s="4"/>
      <c r="E38" s="4"/>
      <c r="F38" s="4"/>
      <c r="G38" s="19"/>
      <c r="H38" s="20"/>
      <c r="I38" s="20"/>
      <c r="J38" s="23" t="str">
        <f t="shared" si="2"/>
        <v/>
      </c>
    </row>
    <row r="39" spans="2:10" x14ac:dyDescent="0.3">
      <c r="B39" s="2"/>
      <c r="C39" s="2"/>
      <c r="D39" s="4"/>
      <c r="E39" s="4"/>
      <c r="F39" s="4"/>
      <c r="G39" s="19"/>
      <c r="H39" s="20"/>
      <c r="I39" s="20"/>
      <c r="J39" s="23" t="str">
        <f t="shared" si="2"/>
        <v/>
      </c>
    </row>
    <row r="40" spans="2:10" x14ac:dyDescent="0.3">
      <c r="B40" s="2"/>
      <c r="C40" s="2"/>
      <c r="D40" s="4"/>
      <c r="E40" s="4"/>
      <c r="F40" s="4"/>
      <c r="G40" s="19"/>
      <c r="H40" s="20"/>
      <c r="I40" s="20"/>
      <c r="J40" s="23" t="str">
        <f t="shared" si="2"/>
        <v/>
      </c>
    </row>
    <row r="41" spans="2:10" x14ac:dyDescent="0.3">
      <c r="B41" s="2"/>
      <c r="C41" s="2"/>
      <c r="D41" s="4"/>
      <c r="E41" s="4"/>
      <c r="F41" s="4"/>
      <c r="G41" s="19"/>
      <c r="H41" s="20"/>
      <c r="I41" s="20"/>
      <c r="J41" s="23" t="str">
        <f t="shared" si="2"/>
        <v/>
      </c>
    </row>
    <row r="42" spans="2:10" x14ac:dyDescent="0.3">
      <c r="B42" s="2"/>
      <c r="C42" s="2"/>
      <c r="D42" s="4"/>
      <c r="E42" s="4"/>
      <c r="F42" s="4"/>
      <c r="G42" s="19"/>
      <c r="H42" s="20"/>
      <c r="I42" s="20"/>
      <c r="J42" s="23" t="str">
        <f t="shared" si="2"/>
        <v/>
      </c>
    </row>
    <row r="43" spans="2:10" x14ac:dyDescent="0.3">
      <c r="B43" s="2"/>
      <c r="C43" s="2"/>
      <c r="D43" s="4"/>
      <c r="E43" s="4"/>
      <c r="F43" s="4"/>
      <c r="G43" s="19"/>
      <c r="H43" s="20"/>
      <c r="I43" s="20"/>
      <c r="J43" s="23" t="str">
        <f t="shared" si="2"/>
        <v/>
      </c>
    </row>
    <row r="44" spans="2:10" x14ac:dyDescent="0.3">
      <c r="B44" s="2"/>
      <c r="C44" s="2"/>
      <c r="D44" s="4"/>
      <c r="E44" s="4"/>
      <c r="F44" s="4"/>
      <c r="G44" s="19"/>
      <c r="H44" s="20"/>
      <c r="I44" s="20"/>
      <c r="J44" s="23" t="str">
        <f t="shared" si="2"/>
        <v/>
      </c>
    </row>
    <row r="45" spans="2:10" x14ac:dyDescent="0.3">
      <c r="B45" s="2"/>
      <c r="C45" s="2"/>
      <c r="D45" s="4"/>
      <c r="E45" s="4"/>
      <c r="F45" s="4"/>
      <c r="G45" s="19"/>
      <c r="H45" s="20"/>
      <c r="I45" s="20"/>
      <c r="J45" s="23" t="str">
        <f t="shared" si="2"/>
        <v/>
      </c>
    </row>
    <row r="48" spans="2:10" x14ac:dyDescent="0.3">
      <c r="B48" s="113" t="s">
        <v>17</v>
      </c>
      <c r="C48" s="113" t="s">
        <v>18</v>
      </c>
      <c r="D48" s="187" t="s">
        <v>141</v>
      </c>
      <c r="E48" s="187"/>
      <c r="F48" s="187"/>
      <c r="G48" s="187" t="s">
        <v>142</v>
      </c>
      <c r="H48" s="187"/>
      <c r="I48" s="187"/>
      <c r="J48" s="188" t="s">
        <v>105</v>
      </c>
    </row>
    <row r="49" spans="2:11" x14ac:dyDescent="0.3">
      <c r="B49" s="113"/>
      <c r="C49" s="113"/>
      <c r="D49" s="9" t="s">
        <v>126</v>
      </c>
      <c r="E49" s="9" t="s">
        <v>127</v>
      </c>
      <c r="F49" s="9" t="s">
        <v>108</v>
      </c>
      <c r="G49" s="9" t="s">
        <v>126</v>
      </c>
      <c r="H49" s="9" t="s">
        <v>127</v>
      </c>
      <c r="I49" s="9" t="s">
        <v>108</v>
      </c>
      <c r="J49" s="111"/>
    </row>
    <row r="50" spans="2:11" x14ac:dyDescent="0.3">
      <c r="B50" s="2" t="s">
        <v>143</v>
      </c>
      <c r="C50" s="2" t="s">
        <v>144</v>
      </c>
      <c r="D50" s="4">
        <v>150</v>
      </c>
      <c r="E50" s="4">
        <v>140</v>
      </c>
      <c r="F50" s="4">
        <v>80</v>
      </c>
      <c r="G50" s="4">
        <v>33</v>
      </c>
      <c r="H50" s="4">
        <v>33</v>
      </c>
      <c r="I50" s="4">
        <v>80</v>
      </c>
      <c r="J50" s="24">
        <f>IF(B50="","",(((((D50+E50)/2)/2)*(((D50+E50)/2)/2)*F50*PI())-((((G50+H50)/2)/2)*(((G50+H50)/2)/2)*I50*PI()))/1000)</f>
        <v>1252.6158228393222</v>
      </c>
    </row>
    <row r="51" spans="2:11" x14ac:dyDescent="0.3">
      <c r="B51" s="2" t="s">
        <v>143</v>
      </c>
      <c r="C51" s="2" t="s">
        <v>145</v>
      </c>
      <c r="D51" s="4">
        <v>180</v>
      </c>
      <c r="E51" s="4">
        <v>165</v>
      </c>
      <c r="F51" s="4">
        <v>90</v>
      </c>
      <c r="G51" s="4">
        <v>40</v>
      </c>
      <c r="H51" s="4">
        <v>40</v>
      </c>
      <c r="I51" s="4">
        <v>90</v>
      </c>
      <c r="J51" s="24">
        <f t="shared" ref="J51:J64" si="3">IF(B51="","",(((((D51+E51)/2)/2)*(((D51+E51)/2)/2)*F51*PI())-((((G51+H51)/2)/2)*(((G51+H51)/2)/2)*I51*PI()))/1000)</f>
        <v>1990.2480334343461</v>
      </c>
      <c r="K51" s="1">
        <f>J51/J50</f>
        <v>1.5888734575642054</v>
      </c>
    </row>
    <row r="52" spans="2:11" x14ac:dyDescent="0.3">
      <c r="B52" s="2" t="s">
        <v>143</v>
      </c>
      <c r="C52" s="2" t="s">
        <v>146</v>
      </c>
      <c r="D52" s="4">
        <v>210</v>
      </c>
      <c r="E52" s="4">
        <v>200</v>
      </c>
      <c r="F52" s="4">
        <v>100</v>
      </c>
      <c r="G52" s="4">
        <v>40</v>
      </c>
      <c r="H52" s="4">
        <v>40</v>
      </c>
      <c r="I52" s="4">
        <v>100</v>
      </c>
      <c r="J52" s="24">
        <f t="shared" si="3"/>
        <v>3174.972075534185</v>
      </c>
      <c r="K52" s="1">
        <f>J52/J51</f>
        <v>1.595264520902701</v>
      </c>
    </row>
    <row r="53" spans="2:11" x14ac:dyDescent="0.3">
      <c r="B53" s="2"/>
      <c r="C53" s="2"/>
      <c r="D53" s="4"/>
      <c r="E53" s="4"/>
      <c r="F53" s="4"/>
      <c r="G53" s="4"/>
      <c r="H53" s="4"/>
      <c r="I53" s="4"/>
      <c r="J53" s="24" t="str">
        <f t="shared" si="3"/>
        <v/>
      </c>
    </row>
    <row r="54" spans="2:11" x14ac:dyDescent="0.3">
      <c r="B54" s="2"/>
      <c r="C54" s="2"/>
      <c r="D54" s="4"/>
      <c r="E54" s="4"/>
      <c r="F54" s="4"/>
      <c r="G54" s="4"/>
      <c r="H54" s="4"/>
      <c r="I54" s="4"/>
      <c r="J54" s="24" t="str">
        <f t="shared" si="3"/>
        <v/>
      </c>
    </row>
    <row r="55" spans="2:11" x14ac:dyDescent="0.3">
      <c r="B55" s="2"/>
      <c r="C55" s="2"/>
      <c r="D55" s="4"/>
      <c r="E55" s="4"/>
      <c r="F55" s="4"/>
      <c r="G55" s="4"/>
      <c r="H55" s="4"/>
      <c r="I55" s="4"/>
      <c r="J55" s="24" t="str">
        <f t="shared" si="3"/>
        <v/>
      </c>
    </row>
    <row r="56" spans="2:11" x14ac:dyDescent="0.3">
      <c r="B56" s="2"/>
      <c r="C56" s="2"/>
      <c r="D56" s="4"/>
      <c r="E56" s="4"/>
      <c r="F56" s="4"/>
      <c r="G56" s="4"/>
      <c r="H56" s="4"/>
      <c r="I56" s="4"/>
      <c r="J56" s="24" t="str">
        <f t="shared" si="3"/>
        <v/>
      </c>
    </row>
    <row r="57" spans="2:11" x14ac:dyDescent="0.3">
      <c r="B57" s="2"/>
      <c r="C57" s="2"/>
      <c r="D57" s="4"/>
      <c r="E57" s="4"/>
      <c r="F57" s="4"/>
      <c r="G57" s="4"/>
      <c r="H57" s="4"/>
      <c r="I57" s="4"/>
      <c r="J57" s="24" t="str">
        <f t="shared" si="3"/>
        <v/>
      </c>
    </row>
    <row r="58" spans="2:11" x14ac:dyDescent="0.3">
      <c r="B58" s="2"/>
      <c r="C58" s="2"/>
      <c r="D58" s="4"/>
      <c r="E58" s="4"/>
      <c r="F58" s="4"/>
      <c r="G58" s="4"/>
      <c r="H58" s="4"/>
      <c r="I58" s="4"/>
      <c r="J58" s="24" t="str">
        <f t="shared" si="3"/>
        <v/>
      </c>
    </row>
    <row r="59" spans="2:11" x14ac:dyDescent="0.3">
      <c r="B59" s="2"/>
      <c r="C59" s="2"/>
      <c r="D59" s="4"/>
      <c r="E59" s="4"/>
      <c r="F59" s="4"/>
      <c r="G59" s="4"/>
      <c r="H59" s="4"/>
      <c r="I59" s="4"/>
      <c r="J59" s="24" t="str">
        <f t="shared" si="3"/>
        <v/>
      </c>
    </row>
    <row r="60" spans="2:11" x14ac:dyDescent="0.3">
      <c r="B60" s="2"/>
      <c r="C60" s="2"/>
      <c r="D60" s="4"/>
      <c r="E60" s="4"/>
      <c r="F60" s="4"/>
      <c r="G60" s="4"/>
      <c r="H60" s="4"/>
      <c r="I60" s="4"/>
      <c r="J60" s="24" t="str">
        <f t="shared" si="3"/>
        <v/>
      </c>
    </row>
    <row r="61" spans="2:11" x14ac:dyDescent="0.3">
      <c r="B61" s="2"/>
      <c r="C61" s="2"/>
      <c r="D61" s="4"/>
      <c r="E61" s="4"/>
      <c r="F61" s="4"/>
      <c r="G61" s="4"/>
      <c r="H61" s="4"/>
      <c r="I61" s="4"/>
      <c r="J61" s="24" t="str">
        <f t="shared" si="3"/>
        <v/>
      </c>
    </row>
    <row r="62" spans="2:11" x14ac:dyDescent="0.3">
      <c r="B62" s="2"/>
      <c r="C62" s="2"/>
      <c r="D62" s="4"/>
      <c r="E62" s="4"/>
      <c r="F62" s="4"/>
      <c r="G62" s="4"/>
      <c r="H62" s="4"/>
      <c r="I62" s="4"/>
      <c r="J62" s="24" t="str">
        <f t="shared" si="3"/>
        <v/>
      </c>
    </row>
    <row r="63" spans="2:11" x14ac:dyDescent="0.3">
      <c r="B63" s="2"/>
      <c r="C63" s="2"/>
      <c r="D63" s="4"/>
      <c r="E63" s="4"/>
      <c r="F63" s="4"/>
      <c r="G63" s="4"/>
      <c r="H63" s="4"/>
      <c r="I63" s="4"/>
      <c r="J63" s="24" t="str">
        <f t="shared" si="3"/>
        <v/>
      </c>
    </row>
    <row r="64" spans="2:11" x14ac:dyDescent="0.3">
      <c r="B64" s="2"/>
      <c r="C64" s="2"/>
      <c r="D64" s="4"/>
      <c r="E64" s="4"/>
      <c r="F64" s="4"/>
      <c r="G64" s="4"/>
      <c r="H64" s="4"/>
      <c r="I64" s="4"/>
      <c r="J64" s="24" t="str">
        <f t="shared" si="3"/>
        <v/>
      </c>
    </row>
  </sheetData>
  <mergeCells count="10">
    <mergeCell ref="B48:B49"/>
    <mergeCell ref="C48:C49"/>
    <mergeCell ref="D48:F48"/>
    <mergeCell ref="G48:I48"/>
    <mergeCell ref="J48:J49"/>
    <mergeCell ref="D2:F2"/>
    <mergeCell ref="G2:I2"/>
    <mergeCell ref="J2:J3"/>
    <mergeCell ref="C2:C3"/>
    <mergeCell ref="B2:B3"/>
  </mergeCells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7" sqref="F7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workbookViewId="0">
      <selection activeCell="I20" sqref="I20"/>
    </sheetView>
  </sheetViews>
  <sheetFormatPr defaultColWidth="9" defaultRowHeight="16.5" x14ac:dyDescent="0.3"/>
  <cols>
    <col min="1" max="1" width="9" style="1"/>
    <col min="2" max="2" width="20.125" style="1" customWidth="1"/>
    <col min="3" max="3" width="12.125" style="1" bestFit="1" customWidth="1"/>
    <col min="4" max="16384" width="9" style="1"/>
  </cols>
  <sheetData>
    <row r="2" spans="2:4" x14ac:dyDescent="0.3">
      <c r="B2" s="2" t="s">
        <v>147</v>
      </c>
      <c r="C2" s="2" t="s">
        <v>37</v>
      </c>
      <c r="D2" s="2" t="s">
        <v>38</v>
      </c>
    </row>
    <row r="3" spans="2:4" x14ac:dyDescent="0.3">
      <c r="B3" s="2" t="s">
        <v>148</v>
      </c>
      <c r="C3" s="3">
        <v>0.6</v>
      </c>
      <c r="D3" s="3">
        <v>0.7</v>
      </c>
    </row>
    <row r="4" spans="2:4" x14ac:dyDescent="0.3">
      <c r="B4" s="2" t="s">
        <v>149</v>
      </c>
      <c r="C4" s="3">
        <v>0.5</v>
      </c>
      <c r="D4" s="3">
        <v>0.3</v>
      </c>
    </row>
    <row r="5" spans="2:4" x14ac:dyDescent="0.3">
      <c r="B5" s="2" t="s">
        <v>150</v>
      </c>
      <c r="C5" s="3">
        <v>0.5</v>
      </c>
      <c r="D5" s="3">
        <v>1</v>
      </c>
    </row>
    <row r="7" spans="2:4" x14ac:dyDescent="0.3">
      <c r="B7" s="1" t="s">
        <v>10</v>
      </c>
    </row>
    <row r="8" spans="2:4" x14ac:dyDescent="0.3">
      <c r="B8" s="22" t="s">
        <v>151</v>
      </c>
    </row>
    <row r="9" spans="2:4" x14ac:dyDescent="0.3">
      <c r="B9" s="22" t="s">
        <v>152</v>
      </c>
    </row>
    <row r="10" spans="2:4" x14ac:dyDescent="0.3">
      <c r="B10" s="22"/>
    </row>
    <row r="11" spans="2:4" x14ac:dyDescent="0.3">
      <c r="B11" s="113" t="s">
        <v>153</v>
      </c>
      <c r="C11" s="113" t="s">
        <v>154</v>
      </c>
      <c r="D11" s="113"/>
    </row>
    <row r="12" spans="2:4" x14ac:dyDescent="0.3">
      <c r="B12" s="113"/>
      <c r="C12" s="2" t="s">
        <v>155</v>
      </c>
      <c r="D12" s="2" t="s">
        <v>156</v>
      </c>
    </row>
    <row r="13" spans="2:4" x14ac:dyDescent="0.3">
      <c r="B13" s="2" t="s">
        <v>157</v>
      </c>
      <c r="C13" s="2">
        <v>2.4</v>
      </c>
      <c r="D13" s="2">
        <v>2.4</v>
      </c>
    </row>
    <row r="14" spans="2:4" x14ac:dyDescent="0.3">
      <c r="B14" s="2" t="s">
        <v>158</v>
      </c>
      <c r="C14" s="2">
        <v>2.96</v>
      </c>
      <c r="D14" s="2">
        <v>2.96</v>
      </c>
    </row>
    <row r="15" spans="2:4" x14ac:dyDescent="0.3">
      <c r="B15" s="2" t="s">
        <v>159</v>
      </c>
      <c r="C15" s="2">
        <v>4.7</v>
      </c>
      <c r="D15" s="2">
        <v>4.7</v>
      </c>
    </row>
    <row r="16" spans="2:4" x14ac:dyDescent="0.3">
      <c r="B16" s="2" t="s">
        <v>160</v>
      </c>
      <c r="C16" s="2">
        <v>5.8</v>
      </c>
      <c r="D16" s="2">
        <v>5.8</v>
      </c>
    </row>
    <row r="17" spans="2:5" x14ac:dyDescent="0.3">
      <c r="B17" s="2" t="s">
        <v>161</v>
      </c>
      <c r="C17" s="2">
        <v>4.2</v>
      </c>
      <c r="D17" s="2" t="s">
        <v>162</v>
      </c>
    </row>
    <row r="18" spans="2:5" x14ac:dyDescent="0.3">
      <c r="B18" s="2" t="s">
        <v>163</v>
      </c>
      <c r="C18" s="2">
        <v>3.4</v>
      </c>
      <c r="D18" s="2" t="s">
        <v>164</v>
      </c>
    </row>
    <row r="19" spans="2:5" x14ac:dyDescent="0.3">
      <c r="B19" s="2" t="s">
        <v>165</v>
      </c>
      <c r="C19" s="2">
        <v>3.8</v>
      </c>
      <c r="D19" s="2">
        <v>3.8</v>
      </c>
    </row>
    <row r="20" spans="2:5" x14ac:dyDescent="0.3">
      <c r="B20" s="2" t="s">
        <v>166</v>
      </c>
      <c r="C20" s="2">
        <v>3.7</v>
      </c>
      <c r="D20" s="2">
        <v>3.7</v>
      </c>
    </row>
    <row r="21" spans="2:5" x14ac:dyDescent="0.3">
      <c r="B21" s="2" t="s">
        <v>167</v>
      </c>
      <c r="C21" s="2">
        <v>4.2</v>
      </c>
      <c r="D21" s="2">
        <v>4.2</v>
      </c>
    </row>
    <row r="22" spans="2:5" x14ac:dyDescent="0.3">
      <c r="B22" s="2" t="s">
        <v>168</v>
      </c>
      <c r="C22" s="2">
        <v>3.95</v>
      </c>
      <c r="D22" s="2">
        <v>3.9</v>
      </c>
    </row>
    <row r="23" spans="2:5" x14ac:dyDescent="0.3">
      <c r="B23" s="2" t="s">
        <v>169</v>
      </c>
      <c r="C23" s="2">
        <v>2.2200000000000002</v>
      </c>
      <c r="D23" s="2" t="s">
        <v>170</v>
      </c>
      <c r="E23" s="1" t="s">
        <v>171</v>
      </c>
    </row>
    <row r="24" spans="2:5" x14ac:dyDescent="0.3">
      <c r="B24" s="2" t="s">
        <v>172</v>
      </c>
      <c r="C24" s="2">
        <v>3.9</v>
      </c>
      <c r="D24" s="2"/>
    </row>
    <row r="25" spans="2:5" x14ac:dyDescent="0.3">
      <c r="B25" s="2"/>
      <c r="C25" s="2"/>
      <c r="D25" s="2"/>
    </row>
    <row r="26" spans="2:5" x14ac:dyDescent="0.3">
      <c r="B26" s="2"/>
      <c r="C26" s="2"/>
      <c r="D26" s="2"/>
    </row>
    <row r="27" spans="2:5" x14ac:dyDescent="0.3">
      <c r="B27" s="2"/>
      <c r="C27" s="2"/>
      <c r="D27" s="2"/>
    </row>
    <row r="28" spans="2:5" x14ac:dyDescent="0.3">
      <c r="B28" s="2"/>
      <c r="C28" s="2"/>
      <c r="D28" s="2"/>
    </row>
    <row r="29" spans="2:5" x14ac:dyDescent="0.3">
      <c r="B29" s="2"/>
      <c r="C29" s="2"/>
      <c r="D29" s="2"/>
    </row>
    <row r="30" spans="2:5" x14ac:dyDescent="0.3">
      <c r="B30" s="2"/>
      <c r="C30" s="2"/>
      <c r="D30" s="2"/>
    </row>
    <row r="31" spans="2:5" x14ac:dyDescent="0.3">
      <c r="B31" s="2"/>
      <c r="C31" s="2"/>
      <c r="D31" s="2"/>
    </row>
  </sheetData>
  <mergeCells count="2">
    <mergeCell ref="B11:B12"/>
    <mergeCell ref="C11:D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5</vt:i4>
      </vt:variant>
    </vt:vector>
  </HeadingPairs>
  <TitlesOfParts>
    <vt:vector size="12" baseType="lpstr">
      <vt:lpstr>제과</vt:lpstr>
      <vt:lpstr>소금빵</vt:lpstr>
      <vt:lpstr>Sheet1</vt:lpstr>
      <vt:lpstr>기준</vt:lpstr>
      <vt:lpstr>틀사이즈</vt:lpstr>
      <vt:lpstr>Sheet2</vt:lpstr>
      <vt:lpstr>계산</vt:lpstr>
      <vt:lpstr>비용적</vt:lpstr>
      <vt:lpstr>사각팬</vt:lpstr>
      <vt:lpstr>쉬폰팬</vt:lpstr>
      <vt:lpstr>원형팬</vt:lpstr>
      <vt:lpstr>틀사이즈기준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윤정만</dc:creator>
  <cp:keywords/>
  <dc:description/>
  <cp:lastModifiedBy>user</cp:lastModifiedBy>
  <cp:revision/>
  <dcterms:created xsi:type="dcterms:W3CDTF">2022-10-20T12:17:22Z</dcterms:created>
  <dcterms:modified xsi:type="dcterms:W3CDTF">2023-11-11T05:38:00Z</dcterms:modified>
  <cp:category/>
  <cp:contentStatus/>
</cp:coreProperties>
</file>